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410c1c3b6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b676bb7aa74cf6"/>
    <x:sheet xmlns:r="http://schemas.openxmlformats.org/officeDocument/2006/relationships" name="Cleaning_Log" sheetId="2" r:id="Re3f9bd512e8c4773"/>
    <x:sheet xmlns:r="http://schemas.openxmlformats.org/officeDocument/2006/relationships" name="Before_After_Profile" sheetId="3" r:id="Rb30e9d38e41d482d"/>
    <x:sheet xmlns:r="http://schemas.openxmlformats.org/officeDocument/2006/relationships" name="Validation_Results" sheetId="4" r:id="R7980da550cb94913"/>
    <x:sheet xmlns:r="http://schemas.openxmlformats.org/officeDocument/2006/relationships" name="Rejected_Records" sheetId="5" r:id="R89e54508f76c45ae"/>
    <x:sheet xmlns:r="http://schemas.openxmlformats.org/officeDocument/2006/relationships" name="Outlier_Review" sheetId="6" r:id="R694d59c541754064"/>
    <x:sheet xmlns:r="http://schemas.openxmlformats.org/officeDocument/2006/relationships" name="Methodology" sheetId="7" r:id="R819683659b4f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$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8"/>
      <x:color rgb="FF17365D"/>
      <x:name val="Carlito"/>
    </x:font>
    <x:font>
      <x:b/>
      <x:sz val="11"/>
      <x:name val="Carlito"/>
    </x:font>
    <x:font>
      <x:b/>
      <x:sz val="12"/>
      <x:color rgb="FF375623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0" fontId="5" fillId="3" borderId="0" xfId="0" applyNumberFormat="1" applyFont="1" applyFill="1" applyBorder="1"/>
    <x:xf numFmtId="200" fontId="5" fillId="3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97c59b3494f0e" /><Relationship Type="http://schemas.openxmlformats.org/officeDocument/2006/relationships/theme" Target="/xl/theme/theme1.xml" Id="Rdb53a6d3b6e7412d" /><Relationship Type="http://schemas.openxmlformats.org/officeDocument/2006/relationships/sharedStrings" Target="/xl/sharedStrings.xml" Id="R0c5421ec96434ecf" /><Relationship Type="http://schemas.openxmlformats.org/officeDocument/2006/relationships/worksheet" Target="/xl/worksheets/sheet1.xml" Id="R9eb676bb7aa74cf6" /><Relationship Type="http://schemas.openxmlformats.org/officeDocument/2006/relationships/worksheet" Target="/xl/worksheets/sheet2.xml" Id="Re3f9bd512e8c4773" /><Relationship Type="http://schemas.openxmlformats.org/officeDocument/2006/relationships/worksheet" Target="/xl/worksheets/sheet3.xml" Id="Rb30e9d38e41d482d" /><Relationship Type="http://schemas.openxmlformats.org/officeDocument/2006/relationships/worksheet" Target="/xl/worksheets/sheet4.xml" Id="R7980da550cb94913" /><Relationship Type="http://schemas.openxmlformats.org/officeDocument/2006/relationships/worksheet" Target="/xl/worksheets/sheet5.xml" Id="R89e54508f76c45ae" /><Relationship Type="http://schemas.openxmlformats.org/officeDocument/2006/relationships/worksheet" Target="/xl/worksheets/sheet6.xml" Id="R694d59c541754064" /><Relationship Type="http://schemas.openxmlformats.org/officeDocument/2006/relationships/worksheet" Target="/xl/worksheets/sheet7.xml" Id="R819683659b4f4f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489bcf594a49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Removed or Quarantined by Table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Removed / Quarantined</c:v>
          </c:tx>
          <c:cat>
            <c:strRef>
              <c:f>'Summary'!$H$12:$H$15</c:f>
              <c:strCache>
                <c:ptCount val="0"/>
              </c:strCache>
            </c:strRef>
          </c:cat>
          <c:val>
            <c:numRef>
              <c:f>'Summary'!$I$12:$I$15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489bcf594a49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eaningLogTable" displayName="CleaningLogTable" ref="A3:I23" headerRowCount="1">
  <x:tableColumns count="9">
    <x:tableColumn id="1" name="Issue_ID"/>
    <x:tableColumn id="2" name="Table"/>
    <x:tableColumn id="3" name="Field_or_Key"/>
    <x:tableColumn id="4" name="Issue"/>
    <x:tableColumn id="5" name="Detection_Method"/>
    <x:tableColumn id="6" name="Treatment"/>
    <x:tableColumn id="7" name="Rows_Affected"/>
    <x:tableColumn id="8" name="Business_Rationale"/>
    <x:tableColumn id="9" name="Valida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BeforeAfterProfileTable" displayName="BeforeAfterProfileTable" ref="A3:H7" headerRowCount="1">
  <x:tableColumns count="8">
    <x:tableColumn id="1" name="Table"/>
    <x:tableColumn id="2" name="Raw_Rows"/>
    <x:tableColumn id="3" name="Clean_Rows"/>
    <x:tableColumn id="4" name="Rows_Removed_or_Quarantined"/>
    <x:tableColumn id="5" name="Duplicate_Rows_Removed"/>
    <x:tableColumn id="6" name="Invalid_FK_Rows_Quarantined"/>
    <x:tableColumn id="7" name="Repaired_Critical_Values"/>
    <x:tableColumn id="8" name="Final_Primary_Key_Duplicates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ResultsTable" displayName="ValidationResultsTable" ref="A3:G25" headerRowCount="1">
  <x:tableColumns count="7">
    <x:tableColumn id="1" name="Check_ID"/>
    <x:tableColumn id="2" name="Table"/>
    <x:tableColumn id="3" name="Validation_Check"/>
    <x:tableColumn id="4" name="Result"/>
    <x:tableColumn id="5" name="Failed_Rows"/>
    <x:tableColumn id="6" name="Expected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jectedRecordsTable" displayName="RejectedRecordsTable" ref="A3:D5" headerRowCount="1">
  <x:tableColumns count="4">
    <x:tableColumn id="1" name="Table"/>
    <x:tableColumn id="2" name="Record_ID"/>
    <x:tableColumn id="3" name="Reason"/>
    <x:tableColumn id="4" name="Project_ID"/>
  </x:tableColumns>
  <x:tableStyleInfo name="TableStyleMedium2" showRowStripes="1"/>
</x:table>
</file>

<file path=xl/tables/table5.xml><?xml version="1.0" encoding="utf-8"?>
<x:table xmlns:x="http://schemas.openxmlformats.org/spreadsheetml/2006/main" id="5" name="OutlierReviewTable" displayName="OutlierReviewTable" ref="A3:F4" headerRowCount="1">
  <x:tableColumns count="6">
    <x:tableColumn id="1" name="Performance_Record_ID"/>
    <x:tableColumn id="2" name="Project_ID"/>
    <x:tableColumn id="3" name="Original_Actual_Cost"/>
    <x:tableColumn id="4" name="Corrected_Actual_Cost"/>
    <x:tableColumn id="5" name="Detection"/>
    <x:tableColumn id="6" name="Treatment Rationale"/>
  </x:tableColumns>
  <x:tableStyleInfo name="TableStyleMedium2" showRowStripes="1"/>
</x:table>
</file>

<file path=xl/tables/table6.xml><?xml version="1.0" encoding="utf-8"?>
<x:table xmlns:x="http://schemas.openxmlformats.org/spreadsheetml/2006/main" id="6" name="MethodologyTable" displayName="MethodologyTable" ref="A3:C11" headerRowCount="1">
  <x:tableColumns count="3">
    <x:tableColumn id="1" name="Principle"/>
    <x:tableColumn id="2" name="Name"/>
    <x:tableColumn id="3" name="Appl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5aab59a8cc43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52ad3ad98443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5ea54d3c44d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beff100a3e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5f745775ab4c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951e8d852748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626edcf93e488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2" hidden="0" customWidth="1"/>
    <x:col min="4" max="4" width="24" hidden="0" customWidth="1"/>
    <x:col min="5" max="5" width="18" hidden="0" customWidth="1"/>
    <x:col min="6" max="6" width="12" hidden="0" customWidth="1"/>
    <x:col min="7" max="7" width="26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78" t="str">
        <x:v>Construction Project Controls Analytics — Process Phase Audit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</x:row>
    <x:row r="3">
      <x:c r="A3" s="13" t="str">
        <x:v>The raw data was preserved unchanged. This workbook documents profiling, cleaning decisions, rejected records, and final validation of the analysis-ready relational dataset.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62"/>
      <x:c r="B5" s="62"/>
      <x:c r="C5" s="62"/>
      <x:c r="D5" s="62"/>
      <x:c r="E5" s="62"/>
      <x:c r="F5" s="62"/>
      <x:c r="G5" s="62"/>
      <x:c r="H5" s="62"/>
      <x:c r="I5" s="62"/>
      <x:c r="J5" s="62"/>
      <x:c r="K5" s="62"/>
      <x:c r="L5" s="62"/>
    </x:row>
    <x:row r="6">
      <x:c r="A6" s="79" t="str">
        <x:v>Raw records</x:v>
      </x:c>
      <x:c r="B6" s="79"/>
      <x:c r="C6" s="79"/>
      <x:c r="D6" s="79" t="str">
        <x:v>Clean records</x:v>
      </x:c>
      <x:c r="E6" s="79"/>
      <x:c r="F6" s="79"/>
      <x:c r="G6" s="79" t="str">
        <x:v>Removed / quarantined</x:v>
      </x:c>
      <x:c r="H6" s="79"/>
      <x:c r="I6" s="79"/>
      <x:c r="J6" s="79" t="str">
        <x:v>Validation pass rate</x:v>
      </x:c>
      <x:c r="K6" s="79"/>
      <x:c r="L6" s="79"/>
    </x:row>
    <x:row r="7">
      <x:c r="A7" s="80" t="n">
        <x:f>SUM(Before_After_Profile!B4:B7)</x:f>
        <x:v>3899</x:v>
      </x:c>
      <x:c r="B7" s="80"/>
      <x:c r="C7" s="80"/>
      <x:c r="D7" s="80" t="n">
        <x:f>SUM(Before_After_Profile!C4:C7)</x:f>
        <x:v>3885</x:v>
      </x:c>
      <x:c r="E7" s="80"/>
      <x:c r="F7" s="80"/>
      <x:c r="G7" s="80" t="n">
        <x:f>SUM(Before_After_Profile!D4:D7)</x:f>
        <x:v>14</x:v>
      </x:c>
      <x:c r="H7" s="80"/>
      <x:c r="I7" s="80"/>
      <x:c r="J7" s="81" t="n">
        <x:f>COUNTIF(Validation_Results!D4:D25,"PASS")/COUNTA(Validation_Results!D4:D25)</x:f>
        <x:v>1</x:v>
      </x:c>
      <x:c r="K7" s="81"/>
      <x:c r="L7" s="81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1"/>
      <x:c r="K8" s="81"/>
      <x:c r="L8" s="81"/>
    </x:row>
    <x:row r="9">
      <x:c r="A9" s="62"/>
      <x:c r="B9" s="62"/>
      <x:c r="C9" s="62"/>
      <x:c r="D9" s="62"/>
      <x:c r="E9" s="62"/>
      <x:c r="F9" s="62"/>
      <x:c r="G9" s="62"/>
      <x:c r="H9" s="62"/>
      <x:c r="I9" s="62"/>
      <x:c r="J9" s="62"/>
      <x:c r="K9" s="62"/>
      <x:c r="L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</x:row>
    <x:row r="11">
      <x:c r="A11" s="68" t="str">
        <x:v>Process Result</x:v>
      </x:c>
      <x:c r="B11" s="68" t="str">
        <x:v>Value</x:v>
      </x:c>
      <x:c r="C11" s="68" t="str"/>
      <x:c r="D11" s="68" t="str"/>
      <x:c r="E11" s="68" t="str"/>
      <x:c r="F11" s="68" t="str"/>
      <x:c r="G11" s="62"/>
      <x:c r="H11" s="68" t="str">
        <x:v>Table</x:v>
      </x:c>
      <x:c r="I11" s="68" t="str">
        <x:v>Removed / Quarantined</x:v>
      </x:c>
      <x:c r="J11" s="62"/>
      <x:c r="K11" s="62"/>
      <x:c r="L11" s="62"/>
    </x:row>
    <x:row r="12">
      <x:c r="A12" s="82" t="str">
        <x:v>Duplicate records removed</x:v>
      </x:c>
      <x:c r="B12" s="83" t="n">
        <x:v>12</x:v>
      </x:c>
      <x:c r="C12" s="62" t="str"/>
      <x:c r="D12" s="62" t="str"/>
      <x:c r="E12" s="62" t="str"/>
      <x:c r="F12" s="62" t="str"/>
      <x:c r="G12" s="62"/>
      <x:c r="H12" s="62" t="str">
        <x:v>Projects</x:v>
      </x:c>
      <x:c r="I12" s="62" t="n">
        <x:v>2</x:v>
      </x:c>
      <x:c r="J12" s="62"/>
      <x:c r="K12" s="62"/>
      <x:c r="L12" s="62"/>
    </x:row>
    <x:row r="13">
      <x:c r="A13" s="82" t="str">
        <x:v>Invalid parent records quarantined</x:v>
      </x:c>
      <x:c r="B13" s="83" t="n">
        <x:v>2</x:v>
      </x:c>
      <x:c r="C13" s="62" t="str"/>
      <x:c r="D13" s="62" t="str"/>
      <x:c r="E13" s="62" t="str"/>
      <x:c r="F13" s="62" t="str"/>
      <x:c r="G13" s="62"/>
      <x:c r="H13" s="62" t="str">
        <x:v>Monthly Performance</x:v>
      </x:c>
      <x:c r="I13" s="62" t="n">
        <x:v>4</x:v>
      </x:c>
      <x:c r="J13" s="62"/>
      <x:c r="K13" s="62"/>
      <x:c r="L13" s="62"/>
    </x:row>
    <x:row r="14">
      <x:c r="A14" s="82" t="str">
        <x:v>Critical values repaired</x:v>
      </x:c>
      <x:c r="B14" s="83" t="n">
        <x:v>16</x:v>
      </x:c>
      <x:c r="C14" s="62" t="str"/>
      <x:c r="D14" s="62" t="str"/>
      <x:c r="E14" s="62" t="str"/>
      <x:c r="F14" s="62" t="str"/>
      <x:c r="G14" s="62"/>
      <x:c r="H14" s="62" t="str">
        <x:v>Change Orders</x:v>
      </x:c>
      <x:c r="I14" s="62" t="n">
        <x:v>4</x:v>
      </x:c>
      <x:c r="J14" s="62"/>
      <x:c r="K14" s="62"/>
      <x:c r="L14" s="62"/>
    </x:row>
    <x:row r="15">
      <x:c r="A15" s="82" t="str">
        <x:v>SQLite foreign-key violations</x:v>
      </x:c>
      <x:c r="B15" s="83" t="n">
        <x:v>0</x:v>
      </x:c>
      <x:c r="C15" s="62" t="str"/>
      <x:c r="D15" s="62" t="str"/>
      <x:c r="E15" s="62" t="str"/>
      <x:c r="F15" s="62" t="str"/>
      <x:c r="G15" s="62"/>
      <x:c r="H15" s="62" t="str">
        <x:v>RFI Log</x:v>
      </x:c>
      <x:c r="I15" s="62" t="n">
        <x:v>4</x:v>
      </x:c>
      <x:c r="J15" s="62"/>
      <x:c r="K15" s="62"/>
      <x:c r="L15" s="62"/>
    </x:row>
    <x:row r="16">
      <x:c r="A16" s="82" t="str">
        <x:v>Final validation checks passed</x:v>
      </x:c>
      <x:c r="B16" s="83" t="n">
        <x:v>22</x:v>
      </x:c>
      <x:c r="C16" s="62" t="str"/>
      <x:c r="D16" s="62" t="str"/>
      <x:c r="E16" s="62" t="str"/>
      <x:c r="F16" s="62" t="str"/>
      <x:c r="G16" s="62"/>
      <x:c r="H16" s="62"/>
      <x:c r="I16" s="62"/>
      <x:c r="J16" s="62"/>
      <x:c r="K16" s="62"/>
      <x:c r="L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</x:row>
    <x:row r="19">
      <x:c r="A19" s="84" t="str">
        <x:v>Final Dataset Status</x:v>
      </x:c>
      <x:c r="B19" s="84"/>
      <x:c r="C19" s="84"/>
      <x:c r="D19" s="84"/>
      <x:c r="E19" s="84"/>
      <x:c r="F19" s="84"/>
      <x:c r="G19" s="62"/>
      <x:c r="H19" s="62"/>
      <x:c r="I19" s="62"/>
      <x:c r="J19" s="62"/>
      <x:c r="K19" s="62"/>
      <x:c r="L19" s="62"/>
    </x:row>
    <x:row r="20">
      <x:c r="A20" s="56" t="str">
        <x:v>APPROVED FOR ANALYSIS
All 22 validation checks passed. Primary keys are unique, child records match valid projects, critical fields are complete, and the SQLite database has no foreign-key violations.</x:v>
      </x:c>
      <x:c r="B20" s="56"/>
      <x:c r="C20" s="56"/>
      <x:c r="D20" s="56"/>
      <x:c r="E20" s="56"/>
      <x:c r="F20" s="56"/>
      <x:c r="G20" s="62"/>
      <x:c r="H20" s="62"/>
      <x:c r="I20" s="62"/>
      <x:c r="J20" s="62"/>
      <x:c r="K20" s="62"/>
      <x:c r="L20" s="62"/>
    </x:row>
    <x:row r="21">
      <x:c r="A21" s="56"/>
      <x:c r="B21" s="56"/>
      <x:c r="C21" s="56"/>
      <x:c r="D21" s="56"/>
      <x:c r="E21" s="56"/>
      <x:c r="F21" s="56"/>
      <x:c r="G21" s="62"/>
      <x:c r="H21" s="62"/>
      <x:c r="I21" s="62"/>
      <x:c r="J21" s="62"/>
      <x:c r="K21" s="62"/>
      <x:c r="L21" s="62"/>
    </x:row>
    <x:row r="22">
      <x:c r="A22" s="56"/>
      <x:c r="B22" s="56"/>
      <x:c r="C22" s="56"/>
      <x:c r="D22" s="56"/>
      <x:c r="E22" s="56"/>
      <x:c r="F22" s="56"/>
      <x:c r="G22" s="62"/>
      <x:c r="H22" s="62"/>
      <x:c r="I22" s="62"/>
      <x:c r="J22" s="62"/>
      <x:c r="K22" s="62"/>
      <x:c r="L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</x:row>
    <x:row r="25">
      <x:c r="A25" s="84" t="str">
        <x:v>Key Files Produced</x:v>
      </x:c>
      <x:c r="B25" s="84"/>
      <x:c r="C25" s="84"/>
      <x:c r="D25" s="84"/>
      <x:c r="E25" s="84"/>
      <x:c r="F25" s="84"/>
      <x:c r="G25" s="62"/>
      <x:c r="H25" s="62"/>
      <x:c r="I25" s="62"/>
      <x:c r="J25" s="62"/>
      <x:c r="K25" s="62"/>
      <x:c r="L25" s="62"/>
    </x:row>
    <x:row r="26" ht="28" customHeight="1">
      <x:c r="A26" s="82" t="str">
        <x:v>Clean CSVs</x:v>
      </x:c>
      <x:c r="B26" s="92" t="str">
        <x:v>data/cleaned/</x:v>
      </x:c>
      <x:c r="C26" s="92" t="str"/>
      <x:c r="D26" s="92" t="str"/>
      <x:c r="E26" s="92" t="str"/>
      <x:c r="F26" s="92" t="str"/>
      <x:c r="G26" s="62"/>
      <x:c r="H26" s="62"/>
      <x:c r="I26" s="62"/>
      <x:c r="J26" s="62"/>
      <x:c r="K26" s="62"/>
      <x:c r="L26" s="62"/>
    </x:row>
    <x:row r="27" ht="28" customHeight="1">
      <x:c r="A27" s="82" t="str">
        <x:v>SQLite database</x:v>
      </x:c>
      <x:c r="B27" s="92" t="str">
        <x:v>data/processed/construction_project_controls_clean.db</x:v>
      </x:c>
      <x:c r="C27" s="92" t="str"/>
      <x:c r="D27" s="92" t="str"/>
      <x:c r="E27" s="92" t="str"/>
      <x:c r="F27" s="92" t="str"/>
      <x:c r="G27" s="62"/>
      <x:c r="H27" s="62"/>
      <x:c r="I27" s="62"/>
      <x:c r="J27" s="62"/>
      <x:c r="K27" s="62"/>
      <x:c r="L27" s="62"/>
    </x:row>
    <x:row r="28" ht="28" customHeight="1">
      <x:c r="A28" s="82" t="str">
        <x:v>Rejected records</x:v>
      </x:c>
      <x:c r="B28" s="92" t="str">
        <x:v>data/processed/rejected_records.csv</x:v>
      </x:c>
      <x:c r="C28" s="92" t="str"/>
      <x:c r="D28" s="92" t="str"/>
      <x:c r="E28" s="92" t="str"/>
      <x:c r="F28" s="92" t="str"/>
      <x:c r="G28" s="62"/>
      <x:c r="H28" s="62"/>
      <x:c r="I28" s="62"/>
      <x:c r="J28" s="62"/>
      <x:c r="K28" s="62"/>
      <x:c r="L28" s="62"/>
    </x:row>
    <x:row r="29" ht="28" customHeight="1">
      <x:c r="A29" s="82" t="str">
        <x:v>Cleaning log</x:v>
      </x:c>
      <x:c r="B29" s="92" t="str">
        <x:v>documentation/data_cleaning_log.xlsx</x:v>
      </x:c>
      <x:c r="C29" s="92" t="str"/>
      <x:c r="D29" s="92" t="str"/>
      <x:c r="E29" s="92" t="str"/>
      <x:c r="F29" s="92" t="str"/>
      <x:c r="G29" s="62"/>
      <x:c r="H29" s="62"/>
      <x:c r="I29" s="62"/>
      <x:c r="J29" s="62"/>
      <x:c r="K29" s="62"/>
      <x:c r="L29" s="62"/>
    </x:row>
    <x:row r="30" ht="28" customHeight="1">
      <x:c r="A30" s="82" t="str">
        <x:v>SQL schema</x:v>
      </x:c>
      <x:c r="B30" s="92" t="str">
        <x:v>sql/01_create_schema.sql</x:v>
      </x:c>
      <x:c r="C30" s="92" t="str"/>
      <x:c r="D30" s="92" t="str"/>
      <x:c r="E30" s="92" t="str"/>
      <x:c r="F30" s="92" t="str"/>
      <x:c r="G30" s="62"/>
      <x:c r="H30" s="62"/>
      <x:c r="I30" s="62"/>
      <x:c r="J30" s="62"/>
      <x:c r="K30" s="62"/>
      <x:c r="L30" s="62"/>
    </x:row>
    <x:row r="31" ht="28" customHeight="1">
      <x:c r="A31" s="82" t="str">
        <x:v>SQL validation</x:v>
      </x:c>
      <x:c r="B31" s="92" t="str">
        <x:v>sql/02_data_quality_checks.sql</x:v>
      </x:c>
      <x:c r="C31" s="92" t="str"/>
      <x:c r="D31" s="92" t="str"/>
      <x:c r="E31" s="92" t="str"/>
      <x:c r="F31" s="92" t="str"/>
      <x:c r="G31" s="62"/>
      <x:c r="H31" s="62"/>
      <x:c r="I31" s="62"/>
      <x:c r="J31" s="62"/>
      <x:c r="K31" s="62"/>
      <x:c r="L31" s="62"/>
    </x:row>
  </x:sheetData>
  <x:mergeCells>
    <x:mergeCell ref="A1:L1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B11:F11"/>
    <x:mergeCell ref="A19:F19"/>
    <x:mergeCell ref="A20:F22"/>
    <x:mergeCell ref="A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  <x:drawing xmlns:r="http://schemas.openxmlformats.org/officeDocument/2006/relationships" r:id="Re95aab59a8cc432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34" hidden="0" customWidth="1"/>
    <x:col min="5" max="5" width="34" hidden="0" customWidth="1"/>
    <x:col min="6" max="6" width="44" hidden="0" customWidth="1"/>
    <x:col min="7" max="7" width="14" hidden="0" customWidth="1"/>
    <x:col min="8" max="8" width="46" hidden="0" customWidth="1"/>
    <x:col min="9" max="9" width="18" hidden="0" customWidth="1"/>
  </x:cols>
  <x:sheetData>
    <x:row r="1">
      <x:c r="A1" s="65" t="str">
        <x:v>Cleaning Decisions and Audit Trail</x:v>
      </x:c>
      <x:c r="B1" s="65"/>
      <x:c r="C1" s="65"/>
      <x:c r="D1" s="65"/>
      <x:c r="E1" s="65"/>
      <x:c r="F1" s="65"/>
      <x:c r="G1" s="65"/>
      <x:c r="H1" s="65"/>
      <x:c r="I1" s="65"/>
    </x:row>
    <x:row r="3">
      <x:c r="A3" s="69" t="str">
        <x:v>Issue_ID</x:v>
      </x:c>
      <x:c r="B3" s="69" t="str">
        <x:v>Table</x:v>
      </x:c>
      <x:c r="C3" s="69" t="str">
        <x:v>Field_or_Key</x:v>
      </x:c>
      <x:c r="D3" s="69" t="str">
        <x:v>Issue</x:v>
      </x:c>
      <x:c r="E3" s="69" t="str">
        <x:v>Detection_Method</x:v>
      </x:c>
      <x:c r="F3" s="69" t="str">
        <x:v>Treatment</x:v>
      </x:c>
      <x:c r="G3" s="69" t="str">
        <x:v>Rows_Affected</x:v>
      </x:c>
      <x:c r="H3" s="69" t="str">
        <x:v>Business_Rationale</x:v>
      </x:c>
      <x:c r="I3" s="69" t="str">
        <x:v>Validation_Status</x:v>
      </x:c>
    </x:row>
    <x:row r="4">
      <x:c r="A4" s="62" t="str">
        <x:v>PRJ-001</x:v>
      </x:c>
      <x:c r="B4" s="62" t="str">
        <x:v>Projects</x:v>
      </x:c>
      <x:c r="C4" s="62" t="str">
        <x:v>Project_ID</x:v>
      </x:c>
      <x:c r="D4" s="62" t="str">
        <x:v>Duplicate project records</x:v>
      </x:c>
      <x:c r="E4" s="62" t="str">
        <x:v>Duplicate count by Project_ID</x:v>
      </x:c>
      <x:c r="F4" s="62" t="str">
        <x:v>Retained the first complete record and removed later duplicates.</x:v>
      </x:c>
      <x:c r="G4" s="62" t="n">
        <x:v>2</x:v>
      </x:c>
      <x:c r="H4" s="62" t="str">
        <x:v>Project_ID must be unique in the parent table.</x:v>
      </x:c>
      <x:c r="I4" s="62" t="str">
        <x:v>Passed</x:v>
      </x:c>
    </x:row>
    <x:row r="5">
      <x:c r="A5" s="62" t="str">
        <x:v>PRJ-002</x:v>
      </x:c>
      <x:c r="B5" s="62" t="str">
        <x:v>Projects</x:v>
      </x:c>
      <x:c r="C5" s="62" t="str">
        <x:v>Project_Type / State / text fields</x:v>
      </x:c>
      <x:c r="D5" s="62" t="str">
        <x:v>Inconsistent capitalization, labels, or whitespace</x:v>
      </x:c>
      <x:c r="E5" s="62" t="str">
        <x:v>Distinct-value review and TRIM comparison</x:v>
      </x:c>
      <x:c r="F5" s="62" t="str">
        <x:v>Trimmed whitespace and mapped values to approved code lists.</x:v>
      </x:c>
      <x:c r="G5" s="62" t="n">
        <x:v>7</x:v>
      </x:c>
      <x:c r="H5" s="62" t="str">
        <x:v>Consistent categories are required for reliable grouping.</x:v>
      </x:c>
      <x:c r="I5" s="62" t="str">
        <x:v>Passed</x:v>
      </x:c>
    </x:row>
    <x:row r="6">
      <x:c r="A6" s="62" t="str">
        <x:v>PRJ-003</x:v>
      </x:c>
      <x:c r="B6" s="62" t="str">
        <x:v>Projects</x:v>
      </x:c>
      <x:c r="C6" s="62" t="str">
        <x:v>Contract_Type</x:v>
      </x:c>
      <x:c r="D6" s="62" t="str">
        <x:v>Missing contract type</x:v>
      </x:c>
      <x:c r="E6" s="62" t="str">
        <x:v>Blank-value count</x:v>
      </x:c>
      <x:c r="F6" s="62" t="str">
        <x:v>Replaced blank values with "Unknown"; no unsupported category was inferred.</x:v>
      </x:c>
      <x:c r="G6" s="62" t="n">
        <x:v>4</x:v>
      </x:c>
      <x:c r="H6" s="62" t="str">
        <x:v>Preserves records while making missingness explicit.</x:v>
      </x:c>
      <x:c r="I6" s="62" t="str">
        <x:v>Passed</x:v>
      </x:c>
    </x:row>
    <x:row r="7">
      <x:c r="A7" s="62" t="str">
        <x:v>PRJ-004</x:v>
      </x:c>
      <x:c r="B7" s="62" t="str">
        <x:v>Projects</x:v>
      </x:c>
      <x:c r="C7" s="62" t="str">
        <x:v>Dates</x:v>
      </x:c>
      <x:c r="D7" s="62" t="str">
        <x:v>Mixed date formats</x:v>
      </x:c>
      <x:c r="E7" s="62" t="str">
        <x:v>Date-parser format comparison</x:v>
      </x:c>
      <x:c r="F7" s="62" t="str">
        <x:v>Parsed supported formats and standardized to ISO YYYY-MM-DD.</x:v>
      </x:c>
      <x:c r="G7" s="62" t="n">
        <x:v>5</x:v>
      </x:c>
      <x:c r="H7" s="62" t="str">
        <x:v>ISO dates support sorting, joins, and reproducibility.</x:v>
      </x:c>
      <x:c r="I7" s="62" t="str">
        <x:v>Passed</x:v>
      </x:c>
    </x:row>
    <x:row r="8">
      <x:c r="A8" s="62" t="str">
        <x:v>PRJ-005</x:v>
      </x:c>
      <x:c r="B8" s="62" t="str">
        <x:v>Projects</x:v>
      </x:c>
      <x:c r="C8" s="62" t="str">
        <x:v>Currency / Percent fields</x:v>
      </x:c>
      <x:c r="D8" s="62" t="str">
        <x:v>Numeric values stored as formatted text</x:v>
      </x:c>
      <x:c r="E8" s="62" t="str">
        <x:v>Type profile and symbol detection</x:v>
      </x:c>
      <x:c r="F8" s="62" t="str">
        <x:v>Removed currency, comma, whitespace, and percent characters; converted to numeric.</x:v>
      </x:c>
      <x:c r="G8" s="62" t="n">
        <x:v>7</x:v>
      </x:c>
      <x:c r="H8" s="62" t="str">
        <x:v>Numeric data types are required for calculations.</x:v>
      </x:c>
      <x:c r="I8" s="62" t="str">
        <x:v>Passed</x:v>
      </x:c>
    </x:row>
    <x:row r="9">
      <x:c r="A9" s="62" t="str">
        <x:v>PERF-001</x:v>
      </x:c>
      <x:c r="B9" s="62" t="str">
        <x:v>Monthly Performance</x:v>
      </x:c>
      <x:c r="C9" s="62" t="str">
        <x:v>Performance_Record_ID</x:v>
      </x:c>
      <x:c r="D9" s="62" t="str">
        <x:v>Duplicate monthly records</x:v>
      </x:c>
      <x:c r="E9" s="62" t="str">
        <x:v>Duplicate count by primary key</x:v>
      </x:c>
      <x:c r="F9" s="62" t="str">
        <x:v>Retained one record per Performance_Record_ID.</x:v>
      </x:c>
      <x:c r="G9" s="62" t="n">
        <x:v>4</x:v>
      </x:c>
      <x:c r="H9" s="62" t="str">
        <x:v>Prevents double counting in time-series analysis.</x:v>
      </x:c>
      <x:c r="I9" s="62" t="str">
        <x:v>Passed</x:v>
      </x:c>
    </x:row>
    <x:row r="10">
      <x:c r="A10" s="62" t="str">
        <x:v>PERF-002</x:v>
      </x:c>
      <x:c r="B10" s="62" t="str">
        <x:v>Monthly Performance</x:v>
      </x:c>
      <x:c r="C10" s="62" t="str">
        <x:v>Project_ID / dates / numeric fields</x:v>
      </x:c>
      <x:c r="D10" s="62" t="str">
        <x:v>Whitespace, mixed dates, and formatted numeric text</x:v>
      </x:c>
      <x:c r="E10" s="62" t="str">
        <x:v>Type profiling and parser comparison</x:v>
      </x:c>
      <x:c r="F10" s="62" t="str">
        <x:v>Trimmed IDs; standardized dates; converted money and percentages to numeric.</x:v>
      </x:c>
      <x:c r="G10" s="62" t="n">
        <x:v>26</x:v>
      </x:c>
      <x:c r="H10" s="62" t="str">
        <x:v>Creates consistent analysis-ready data types.</x:v>
      </x:c>
      <x:c r="I10" s="62" t="str">
        <x:v>Passed</x:v>
      </x:c>
    </x:row>
    <x:row r="11">
      <x:c r="A11" s="62" t="str">
        <x:v>PERF-003</x:v>
      </x:c>
      <x:c r="B11" s="62" t="str">
        <x:v>Monthly Performance</x:v>
      </x:c>
      <x:c r="C11" s="62" t="str">
        <x:v>Actual_Cost</x:v>
      </x:c>
      <x:c r="D11" s="62" t="str">
        <x:v>Missing cumulative actual cost</x:v>
      </x:c>
      <x:c r="E11" s="62" t="str">
        <x:v>Null count by project and reporting month</x:v>
      </x:c>
      <x:c r="F11" s="62" t="str">
        <x:v>Imputed from adjacent cumulative records; edge cases used the nearest valid CPI relationship.</x:v>
      </x:c>
      <x:c r="G11" s="62" t="n">
        <x:v>6</x:v>
      </x:c>
      <x:c r="H11" s="62" t="str">
        <x:v>Cumulative monthly measures can be reconstructed from neighboring project records.</x:v>
      </x:c>
      <x:c r="I11" s="62" t="str">
        <x:v>Passed</x:v>
      </x:c>
    </x:row>
    <x:row r="12">
      <x:c r="A12" s="62" t="str">
        <x:v>PERF-004</x:v>
      </x:c>
      <x:c r="B12" s="62" t="str">
        <x:v>Monthly Performance</x:v>
      </x:c>
      <x:c r="C12" s="62" t="str">
        <x:v>Actual_Cost</x:v>
      </x:c>
      <x:c r="D12" s="62" t="str">
        <x:v>Isolated impossible cumulative cost spike</x:v>
      </x:c>
      <x:c r="E12" s="62" t="str">
        <x:v>Within-project jump/drop rule</x:v>
      </x:c>
      <x:c r="F12" s="62" t="str">
        <x:v>Replaced the isolated spike with the midpoint of adjacent cumulative values.</x:v>
      </x:c>
      <x:c r="G12" s="62" t="n">
        <x:v>1</x:v>
      </x:c>
      <x:c r="H12" s="62" t="str">
        <x:v>A cumulative cost cannot legitimately spike and then reverse sharply in the next period.</x:v>
      </x:c>
      <x:c r="I12" s="62" t="str">
        <x:v>Passed</x:v>
      </x:c>
    </x:row>
    <x:row r="13">
      <x:c r="A13" s="62" t="str">
        <x:v>PERF-005</x:v>
      </x:c>
      <x:c r="B13" s="62" t="str">
        <x:v>Monthly Performance</x:v>
      </x:c>
      <x:c r="C13" s="62" t="str">
        <x:v>Project_ID</x:v>
      </x:c>
      <x:c r="D13" s="62" t="str">
        <x:v>Invalid parent relationship</x:v>
      </x:c>
      <x:c r="E13" s="62" t="str">
        <x:v>Anti-join to Projects</x:v>
      </x:c>
      <x:c r="F13" s="62" t="str">
        <x:v>Quarantined records whose Project_ID could not be verified.</x:v>
      </x:c>
      <x:c r="G13" s="62" t="n">
        <x:v>0</x:v>
      </x:c>
      <x:c r="H13" s="62" t="str">
        <x:v>Unmatched child records would invalidate relational analysis.</x:v>
      </x:c>
      <x:c r="I13" s="62" t="str">
        <x:v>Passed</x:v>
      </x:c>
    </x:row>
    <x:row r="14">
      <x:c r="A14" s="62" t="str">
        <x:v>CO-001</x:v>
      </x:c>
      <x:c r="B14" s="62" t="str">
        <x:v>Change Orders</x:v>
      </x:c>
      <x:c r="C14" s="62" t="str">
        <x:v>Change_Order_ID</x:v>
      </x:c>
      <x:c r="D14" s="62" t="str">
        <x:v>Duplicate change-order records</x:v>
      </x:c>
      <x:c r="E14" s="62" t="str">
        <x:v>Duplicate count by primary key</x:v>
      </x:c>
      <x:c r="F14" s="62" t="str">
        <x:v>Retained one record per Change_Order_ID.</x:v>
      </x:c>
      <x:c r="G14" s="62" t="n">
        <x:v>3</x:v>
      </x:c>
      <x:c r="H14" s="62" t="str">
        <x:v>Prevents duplicate cost and schedule impact.</x:v>
      </x:c>
      <x:c r="I14" s="62" t="str">
        <x:v>Passed</x:v>
      </x:c>
    </x:row>
    <x:row r="15">
      <x:c r="A15" s="62" t="str">
        <x:v>CO-002</x:v>
      </x:c>
      <x:c r="B15" s="62" t="str">
        <x:v>Change Orders</x:v>
      </x:c>
      <x:c r="C15" s="62" t="str">
        <x:v>Status / category / date / currency fields</x:v>
      </x:c>
      <x:c r="D15" s="62" t="str">
        <x:v>Inconsistent labels and data types</x:v>
      </x:c>
      <x:c r="E15" s="62" t="str">
        <x:v>Distinct-value and type profiling</x:v>
      </x:c>
      <x:c r="F15" s="62" t="str">
        <x:v>Mapped labels to approved code lists; standardized dates and currency values.</x:v>
      </x:c>
      <x:c r="G15" s="62" t="n">
        <x:v>29</x:v>
      </x:c>
      <x:c r="H15" s="62" t="str">
        <x:v>Consistent categories and numeric types are required for aggregation.</x:v>
      </x:c>
      <x:c r="I15" s="62" t="str">
        <x:v>Passed</x:v>
      </x:c>
    </x:row>
    <x:row r="16">
      <x:c r="A16" s="62" t="str">
        <x:v>CO-003</x:v>
      </x:c>
      <x:c r="B16" s="62" t="str">
        <x:v>Change Orders</x:v>
      </x:c>
      <x:c r="C16" s="62" t="str">
        <x:v>Approved_Value</x:v>
      </x:c>
      <x:c r="D16" s="62" t="str">
        <x:v>Approved record missing approved value</x:v>
      </x:c>
      <x:c r="E16" s="62" t="str">
        <x:v>Conditional null check where Change_Status = Approved</x:v>
      </x:c>
      <x:c r="F16" s="62" t="str">
        <x:v>Used Submitted_Value as the documented proxy for the missing approved value.</x:v>
      </x:c>
      <x:c r="G16" s="62" t="n">
        <x:v>2</x:v>
      </x:c>
      <x:c r="H16" s="62" t="str">
        <x:v>The submitted amount was the strongest available internal evidence; records were retained and treatment documented.</x:v>
      </x:c>
      <x:c r="I16" s="62" t="str">
        <x:v>Passed</x:v>
      </x:c>
    </x:row>
    <x:row r="17">
      <x:c r="A17" s="62" t="str">
        <x:v>CO-004</x:v>
      </x:c>
      <x:c r="B17" s="62" t="str">
        <x:v>Change Orders</x:v>
      </x:c>
      <x:c r="C17" s="62" t="str">
        <x:v>Approved_Date</x:v>
      </x:c>
      <x:c r="D17" s="62" t="str">
        <x:v>Approval date before submission date</x:v>
      </x:c>
      <x:c r="E17" s="62" t="str">
        <x:v>Date-sequence validation</x:v>
      </x:c>
      <x:c r="F17" s="62" t="str">
        <x:v>Replaced invalid dates using the median approval duration for the same change category.</x:v>
      </x:c>
      <x:c r="G17" s="62" t="n">
        <x:v>2</x:v>
      </x:c>
      <x:c r="H17" s="62" t="str">
        <x:v>Preserves valid approval status while avoiding impossible negative cycle times.</x:v>
      </x:c>
      <x:c r="I17" s="62" t="str">
        <x:v>Passed</x:v>
      </x:c>
    </x:row>
    <x:row r="18">
      <x:c r="A18" s="62" t="str">
        <x:v>CO-005</x:v>
      </x:c>
      <x:c r="B18" s="62" t="str">
        <x:v>Change Orders</x:v>
      </x:c>
      <x:c r="C18" s="62" t="str">
        <x:v>Project_ID</x:v>
      </x:c>
      <x:c r="D18" s="62" t="str">
        <x:v>Invalid parent relationship</x:v>
      </x:c>
      <x:c r="E18" s="62" t="str">
        <x:v>Anti-join to Projects</x:v>
      </x:c>
      <x:c r="F18" s="62" t="str">
        <x:v>Quarantined unmatched records; no unsupported Project_ID correction was made.</x:v>
      </x:c>
      <x:c r="G18" s="62" t="n">
        <x:v>1</x:v>
      </x:c>
      <x:c r="H18" s="62" t="str">
        <x:v>Relational integrity takes priority over retaining an unverifiable record.</x:v>
      </x:c>
      <x:c r="I18" s="62" t="str">
        <x:v>Passed</x:v>
      </x:c>
    </x:row>
    <x:row r="19">
      <x:c r="A19" s="62" t="str">
        <x:v>RFI-001</x:v>
      </x:c>
      <x:c r="B19" s="62" t="str">
        <x:v>RFI Log</x:v>
      </x:c>
      <x:c r="C19" s="62" t="str">
        <x:v>RFI_ID</x:v>
      </x:c>
      <x:c r="D19" s="62" t="str">
        <x:v>Duplicate RFI records</x:v>
      </x:c>
      <x:c r="E19" s="62" t="str">
        <x:v>Duplicate count by primary key</x:v>
      </x:c>
      <x:c r="F19" s="62" t="str">
        <x:v>Retained one record per RFI_ID.</x:v>
      </x:c>
      <x:c r="G19" s="62" t="n">
        <x:v>3</x:v>
      </x:c>
      <x:c r="H19" s="62" t="str">
        <x:v>Prevents duplicate response and impact metrics.</x:v>
      </x:c>
      <x:c r="I19" s="62" t="str">
        <x:v>Passed</x:v>
      </x:c>
    </x:row>
    <x:row r="20">
      <x:c r="A20" s="62" t="str">
        <x:v>RFI-002</x:v>
      </x:c>
      <x:c r="B20" s="62" t="str">
        <x:v>RFI Log</x:v>
      </x:c>
      <x:c r="C20" s="62" t="str">
        <x:v>Discipline / status / dates / response days</x:v>
      </x:c>
      <x:c r="D20" s="62" t="str">
        <x:v>Inconsistent categories and data types</x:v>
      </x:c>
      <x:c r="E20" s="62" t="str">
        <x:v>Distinct-value and type profiling</x:v>
      </x:c>
      <x:c r="F20" s="62" t="str">
        <x:v>Mapped categories, standardized dates, trimmed IDs, and converted response days to integers.</x:v>
      </x:c>
      <x:c r="G20" s="62" t="n">
        <x:v>37</x:v>
      </x:c>
      <x:c r="H20" s="62" t="str">
        <x:v>Creates consistent workflow and discipline categories.</x:v>
      </x:c>
      <x:c r="I20" s="62" t="str">
        <x:v>Passed</x:v>
      </x:c>
    </x:row>
    <x:row r="21">
      <x:c r="A21" s="62" t="str">
        <x:v>RFI-003</x:v>
      </x:c>
      <x:c r="B21" s="62" t="str">
        <x:v>RFI Log</x:v>
      </x:c>
      <x:c r="C21" s="62" t="str">
        <x:v>Response_Date</x:v>
      </x:c>
      <x:c r="D21" s="62" t="str">
        <x:v>Answered or closed RFI missing response date</x:v>
      </x:c>
      <x:c r="E21" s="62" t="str">
        <x:v>Conditional null check by RFI_Status</x:v>
      </x:c>
      <x:c r="F21" s="62" t="str">
        <x:v>Reconstructed Response_Date from Submitted_Date plus Response_Days.</x:v>
      </x:c>
      <x:c r="G21" s="62" t="n">
        <x:v>3</x:v>
      </x:c>
      <x:c r="H21" s="62" t="str">
        <x:v>The elapsed-day field provided direct evidence for the missing date.</x:v>
      </x:c>
      <x:c r="I21" s="62" t="str">
        <x:v>Passed</x:v>
      </x:c>
    </x:row>
    <x:row r="22">
      <x:c r="A22" s="62" t="str">
        <x:v>RFI-004</x:v>
      </x:c>
      <x:c r="B22" s="62" t="str">
        <x:v>RFI Log</x:v>
      </x:c>
      <x:c r="C22" s="62" t="str">
        <x:v>Response_Date / Response_Days</x:v>
      </x:c>
      <x:c r="D22" s="62" t="str">
        <x:v>Response date before submission or inconsistent elapsed days</x:v>
      </x:c>
      <x:c r="E22" s="62" t="str">
        <x:v>Date-sequence and arithmetic validation</x:v>
      </x:c>
      <x:c r="F22" s="62" t="str">
        <x:v>Corrected invalid dates using Response_Days and recalculated elapsed days from cleaned dates.</x:v>
      </x:c>
      <x:c r="G22" s="62" t="n">
        <x:v>2</x:v>
      </x:c>
      <x:c r="H22" s="62" t="str">
        <x:v>Response duration must agree with the underlying dates.</x:v>
      </x:c>
      <x:c r="I22" s="62" t="str">
        <x:v>Passed</x:v>
      </x:c>
    </x:row>
    <x:row r="23">
      <x:c r="A23" s="62" t="str">
        <x:v>RFI-005</x:v>
      </x:c>
      <x:c r="B23" s="62" t="str">
        <x:v>RFI Log</x:v>
      </x:c>
      <x:c r="C23" s="62" t="str">
        <x:v>Project_ID</x:v>
      </x:c>
      <x:c r="D23" s="62" t="str">
        <x:v>Invalid parent relationship</x:v>
      </x:c>
      <x:c r="E23" s="62" t="str">
        <x:v>Anti-join to Projects</x:v>
      </x:c>
      <x:c r="F23" s="62" t="str">
        <x:v>Quarantined unmatched records; no unsupported ID correction was made.</x:v>
      </x:c>
      <x:c r="G23" s="62" t="n">
        <x:v>1</x:v>
      </x:c>
      <x:c r="H23" s="62" t="str">
        <x:v>Unmatched child records cannot be safely attributed to a project.</x:v>
      </x:c>
      <x:c r="I23" s="62" t="str">
        <x:v>Passed</x:v>
      </x:c>
    </x:row>
  </x:sheetData>
  <x:mergeCells>
    <x:mergeCell ref="A1:I1"/>
  </x:mergeCells>
  <x:conditionalFormatting sqref="G4:G2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{990F257E-6B6B-A835-AC0D-E887A451FA4B}</x14:id>
        </x:ext>
      </x:extLst>
    </x:cfRule>
  </x:conditionalFormatting>
  <x:conditionalFormatting sqref="I4:I23">
    <x:cfRule type="expression" dxfId="0" priority="2">
      <x:formula>I4="Passed"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52ad3ad98443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90F257E-6B6B-A835-AC0D-E887A451FA4B}">
            <x14:dataBar gradient="1">
              <x14:cfvo type="min"/>
              <x14:cfvo type="max"/>
              <x14:fillColor rgb="FF2F75B5"/>
            </x14:dataBar>
          </x14:cfRule>
          <xm:sqref>G4:G23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26" hidden="0" customWidth="1"/>
    <x:col min="7" max="7" width="24" hidden="0" customWidth="1"/>
    <x:col min="8" max="8" width="28" hidden="0" customWidth="1"/>
  </x:cols>
  <x:sheetData>
    <x:row r="1">
      <x:c r="A1" s="65" t="str">
        <x:v>Raw-to-Clean Dataset Profile</x:v>
      </x:c>
      <x:c r="B1" s="65"/>
      <x:c r="C1" s="65"/>
      <x:c r="D1" s="65"/>
      <x:c r="E1" s="65"/>
      <x:c r="F1" s="65"/>
      <x:c r="G1" s="65"/>
      <x:c r="H1" s="65"/>
    </x:row>
    <x:row r="3">
      <x:c r="A3" s="69" t="str">
        <x:v>Table</x:v>
      </x:c>
      <x:c r="B3" s="69" t="str">
        <x:v>Raw_Rows</x:v>
      </x:c>
      <x:c r="C3" s="69" t="str">
        <x:v>Clean_Rows</x:v>
      </x:c>
      <x:c r="D3" s="69" t="str">
        <x:v>Rows_Removed_or_Quarantined</x:v>
      </x:c>
      <x:c r="E3" s="69" t="str">
        <x:v>Duplicate_Rows_Removed</x:v>
      </x:c>
      <x:c r="F3" s="69" t="str">
        <x:v>Invalid_FK_Rows_Quarantined</x:v>
      </x:c>
      <x:c r="G3" s="69" t="str">
        <x:v>Repaired_Critical_Values</x:v>
      </x:c>
      <x:c r="H3" s="69" t="str">
        <x:v>Final_Primary_Key_Duplicates</x:v>
      </x:c>
    </x:row>
    <x:row r="4">
      <x:c r="A4" t="str">
        <x:v>Projects</x:v>
      </x:c>
      <x:c r="B4" s="44" t="n">
        <x:v>77</x:v>
      </x:c>
      <x:c r="C4" s="44" t="n">
        <x:v>75</x:v>
      </x:c>
      <x:c r="D4" s="44" t="n">
        <x:v>2</x:v>
      </x:c>
      <x:c r="E4" s="44" t="n">
        <x:v>2</x:v>
      </x:c>
      <x:c r="F4" s="44" t="n">
        <x:v>0</x:v>
      </x:c>
      <x:c r="G4" s="44" t="n">
        <x:v>0</x:v>
      </x:c>
      <x:c r="H4" s="44" t="n">
        <x:v>0</x:v>
      </x:c>
    </x:row>
    <x:row r="5">
      <x:c r="A5" t="str">
        <x:v>Monthly Performance</x:v>
      </x:c>
      <x:c r="B5" s="44" t="n">
        <x:v>1747</x:v>
      </x:c>
      <x:c r="C5" s="44" t="n">
        <x:v>1743</x:v>
      </x:c>
      <x:c r="D5" s="44" t="n">
        <x:v>4</x:v>
      </x:c>
      <x:c r="E5" s="44" t="n">
        <x:v>4</x:v>
      </x:c>
      <x:c r="F5" s="44" t="n">
        <x:v>0</x:v>
      </x:c>
      <x:c r="G5" s="44" t="n">
        <x:v>7</x:v>
      </x:c>
      <x:c r="H5" s="44" t="n">
        <x:v>0</x:v>
      </x:c>
    </x:row>
    <x:row r="6">
      <x:c r="A6" t="str">
        <x:v>Change Orders</x:v>
      </x:c>
      <x:c r="B6" s="44" t="n">
        <x:v>557</x:v>
      </x:c>
      <x:c r="C6" s="44" t="n">
        <x:v>553</x:v>
      </x:c>
      <x:c r="D6" s="44" t="n">
        <x:v>4</x:v>
      </x:c>
      <x:c r="E6" s="44" t="n">
        <x:v>3</x:v>
      </x:c>
      <x:c r="F6" s="44" t="n">
        <x:v>1</x:v>
      </x:c>
      <x:c r="G6" s="44" t="n">
        <x:v>4</x:v>
      </x:c>
      <x:c r="H6" s="44" t="n">
        <x:v>0</x:v>
      </x:c>
    </x:row>
    <x:row r="7">
      <x:c r="A7" t="str">
        <x:v>RFI Log</x:v>
      </x:c>
      <x:c r="B7" s="44" t="n">
        <x:v>1518</x:v>
      </x:c>
      <x:c r="C7" s="44" t="n">
        <x:v>1514</x:v>
      </x:c>
      <x:c r="D7" s="44" t="n">
        <x:v>4</x:v>
      </x:c>
      <x:c r="E7" s="44" t="n">
        <x:v>3</x:v>
      </x:c>
      <x:c r="F7" s="44" t="n">
        <x:v>1</x:v>
      </x:c>
      <x:c r="G7" s="44" t="n">
        <x:v>5</x:v>
      </x:c>
      <x:c r="H7" s="44" t="n">
        <x:v>0</x:v>
      </x:c>
    </x:row>
    <x:row r="8">
      <x:c r="A8" s="72" t="str">
        <x:v>TOTAL</x:v>
      </x:c>
      <x:c r="B8" s="74" t="n">
        <x:f>SUM(B4:B7)</x:f>
        <x:v>3899</x:v>
      </x:c>
      <x:c r="C8" s="74" t="n">
        <x:f>SUM(C4:C7)</x:f>
        <x:v>3885</x:v>
      </x:c>
      <x:c r="D8" s="74" t="n">
        <x:f>SUM(D4:D7)</x:f>
        <x:v>14</x:v>
      </x:c>
      <x:c r="E8" s="74" t="n">
        <x:f>SUM(E4:E7)</x:f>
        <x:v>12</x:v>
      </x:c>
      <x:c r="F8" s="74" t="n">
        <x:f>SUM(F4:F7)</x:f>
        <x:v>2</x:v>
      </x:c>
      <x:c r="G8" s="74" t="n">
        <x:f>SUM(G4:G7)</x:f>
        <x:v>16</x:v>
      </x:c>
      <x:c r="H8" s="74" t="n">
        <x:f>SUM(H4:H7)</x:f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ed5ea54d3c44d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6" hidden="0" customWidth="1"/>
    <x:col min="4" max="4" width="12" hidden="0" customWidth="1"/>
    <x:col min="5" max="5" width="14" hidden="0" customWidth="1"/>
    <x:col min="6" max="6" width="20" hidden="0" customWidth="1"/>
    <x:col min="7" max="7" width="44" hidden="0" customWidth="1"/>
  </x:cols>
  <x:sheetData>
    <x:row r="1">
      <x:c r="A1" s="65" t="str">
        <x:v>Final Data Validation Results</x:v>
      </x:c>
      <x:c r="B1" s="65"/>
      <x:c r="C1" s="65"/>
      <x:c r="D1" s="65"/>
      <x:c r="E1" s="65"/>
      <x:c r="F1" s="65"/>
      <x:c r="G1" s="65"/>
    </x:row>
    <x:row r="3">
      <x:c r="A3" s="69" t="str">
        <x:v>Check_ID</x:v>
      </x:c>
      <x:c r="B3" s="69" t="str">
        <x:v>Table</x:v>
      </x:c>
      <x:c r="C3" s="69" t="str">
        <x:v>Validation_Check</x:v>
      </x:c>
      <x:c r="D3" s="69" t="str">
        <x:v>Result</x:v>
      </x:c>
      <x:c r="E3" s="69" t="str">
        <x:v>Failed_Rows</x:v>
      </x:c>
      <x:c r="F3" s="69" t="str">
        <x:v>Expected</x:v>
      </x:c>
      <x:c r="G3" s="69" t="str">
        <x:v>Notes</x:v>
      </x:c>
    </x:row>
    <x:row r="4">
      <x:c r="A4" s="62" t="str">
        <x:v>V-PRJ-01</x:v>
      </x:c>
      <x:c r="B4" s="62" t="str">
        <x:v>Projects</x:v>
      </x:c>
      <x:c r="C4" s="62" t="str">
        <x:v>Project_ID uniqueness</x:v>
      </x:c>
      <x:c r="D4" s="62" t="str">
        <x:v>PASS</x:v>
      </x:c>
      <x:c r="E4" s="62" t="n">
        <x:v>0</x:v>
      </x:c>
      <x:c r="F4" s="62" t="str">
        <x:v>0 duplicates</x:v>
      </x:c>
      <x:c r="G4" s="62" t="str"/>
    </x:row>
    <x:row r="5">
      <x:c r="A5" s="62" t="str">
        <x:v>V-PRJ-02</x:v>
      </x:c>
      <x:c r="B5" s="62" t="str">
        <x:v>Projects</x:v>
      </x:c>
      <x:c r="C5" s="62" t="str">
        <x:v>Start date precedes planned completion</x:v>
      </x:c>
      <x:c r="D5" s="62" t="str">
        <x:v>PASS</x:v>
      </x:c>
      <x:c r="E5" s="62" t="n">
        <x:v>0</x:v>
      </x:c>
      <x:c r="F5" s="62" t="str">
        <x:v>0 invalid rows</x:v>
      </x:c>
      <x:c r="G5" s="62" t="str"/>
    </x:row>
    <x:row r="6">
      <x:c r="A6" s="62" t="str">
        <x:v>V-PRJ-03</x:v>
      </x:c>
      <x:c r="B6" s="62" t="str">
        <x:v>Projects</x:v>
      </x:c>
      <x:c r="C6" s="62" t="str">
        <x:v>Budget values are valid</x:v>
      </x:c>
      <x:c r="D6" s="62" t="str">
        <x:v>PASS</x:v>
      </x:c>
      <x:c r="E6" s="62" t="n">
        <x:v>0</x:v>
      </x:c>
      <x:c r="F6" s="62" t="str">
        <x:v>0 invalid rows</x:v>
      </x:c>
      <x:c r="G6" s="62" t="str"/>
    </x:row>
    <x:row r="7">
      <x:c r="A7" s="62" t="str">
        <x:v>V-PRJ-04</x:v>
      </x:c>
      <x:c r="B7" s="62" t="str">
        <x:v>Projects</x:v>
      </x:c>
      <x:c r="C7" s="62" t="str">
        <x:v>Percent complete within 0–100</x:v>
      </x:c>
      <x:c r="D7" s="62" t="str">
        <x:v>PASS</x:v>
      </x:c>
      <x:c r="E7" s="62" t="n">
        <x:v>0</x:v>
      </x:c>
      <x:c r="F7" s="62" t="str">
        <x:v>0 invalid rows</x:v>
      </x:c>
      <x:c r="G7" s="62" t="str"/>
    </x:row>
    <x:row r="8">
      <x:c r="A8" s="62" t="str">
        <x:v>V-PRJ-05</x:v>
      </x:c>
      <x:c r="B8" s="62" t="str">
        <x:v>Projects</x:v>
      </x:c>
      <x:c r="C8" s="62" t="str">
        <x:v>Missing contract type is explicitly classified</x:v>
      </x:c>
      <x:c r="D8" s="62" t="str">
        <x:v>PASS</x:v>
      </x:c>
      <x:c r="E8" s="62" t="n">
        <x:v>0</x:v>
      </x:c>
      <x:c r="F8" s="62" t="str">
        <x:v>No blank Contract_Type</x:v>
      </x:c>
      <x:c r="G8" s="62" t="str">
        <x:v>4 records retained as "Unknown".</x:v>
      </x:c>
    </x:row>
    <x:row r="9">
      <x:c r="A9" s="62" t="str">
        <x:v>V-PERF-01</x:v>
      </x:c>
      <x:c r="B9" s="62" t="str">
        <x:v>Monthly Performance</x:v>
      </x:c>
      <x:c r="C9" s="62" t="str">
        <x:v>Performance_Record_ID uniqueness</x:v>
      </x:c>
      <x:c r="D9" s="62" t="str">
        <x:v>PASS</x:v>
      </x:c>
      <x:c r="E9" s="62" t="n">
        <x:v>0</x:v>
      </x:c>
      <x:c r="F9" s="62" t="str">
        <x:v>0 duplicates</x:v>
      </x:c>
      <x:c r="G9" s="62" t="str"/>
    </x:row>
    <x:row r="10">
      <x:c r="A10" s="62" t="str">
        <x:v>V-PERF-02</x:v>
      </x:c>
      <x:c r="B10" s="62" t="str">
        <x:v>Monthly Performance</x:v>
      </x:c>
      <x:c r="C10" s="62" t="str">
        <x:v>One record per project/reporting month</x:v>
      </x:c>
      <x:c r="D10" s="62" t="str">
        <x:v>PASS</x:v>
      </x:c>
      <x:c r="E10" s="62" t="n">
        <x:v>0</x:v>
      </x:c>
      <x:c r="F10" s="62" t="str">
        <x:v>0 duplicates</x:v>
      </x:c>
      <x:c r="G10" s="62" t="str"/>
    </x:row>
    <x:row r="11">
      <x:c r="A11" s="62" t="str">
        <x:v>V-PERF-03</x:v>
      </x:c>
      <x:c r="B11" s="62" t="str">
        <x:v>Monthly Performance</x:v>
      </x:c>
      <x:c r="C11" s="62" t="str">
        <x:v>All Project_ID values match Projects</x:v>
      </x:c>
      <x:c r="D11" s="62" t="str">
        <x:v>PASS</x:v>
      </x:c>
      <x:c r="E11" s="62" t="n">
        <x:v>0</x:v>
      </x:c>
      <x:c r="F11" s="62" t="str">
        <x:v>0 unmatched rows</x:v>
      </x:c>
      <x:c r="G11" s="62" t="str"/>
    </x:row>
    <x:row r="12">
      <x:c r="A12" s="62" t="str">
        <x:v>V-PERF-04</x:v>
      </x:c>
      <x:c r="B12" s="62" t="str">
        <x:v>Monthly Performance</x:v>
      </x:c>
      <x:c r="C12" s="62" t="str">
        <x:v>Critical analytical fields are complete</x:v>
      </x:c>
      <x:c r="D12" s="62" t="str">
        <x:v>PASS</x:v>
      </x:c>
      <x:c r="E12" s="62" t="n">
        <x:v>0</x:v>
      </x:c>
      <x:c r="F12" s="62" t="str">
        <x:v>0 null cells</x:v>
      </x:c>
      <x:c r="G12" s="62" t="str"/>
    </x:row>
    <x:row r="13">
      <x:c r="A13" s="62" t="str">
        <x:v>V-PERF-05</x:v>
      </x:c>
      <x:c r="B13" s="62" t="str">
        <x:v>Monthly Performance</x:v>
      </x:c>
      <x:c r="C13" s="62" t="str">
        <x:v>Numeric ranges are valid</x:v>
      </x:c>
      <x:c r="D13" s="62" t="str">
        <x:v>PASS</x:v>
      </x:c>
      <x:c r="E13" s="62" t="n">
        <x:v>0</x:v>
      </x:c>
      <x:c r="F13" s="62" t="str">
        <x:v>0 invalid rows</x:v>
      </x:c>
      <x:c r="G13" s="62" t="str"/>
    </x:row>
    <x:row r="14">
      <x:c r="A14" s="62" t="str">
        <x:v>V-PERF-06</x:v>
      </x:c>
      <x:c r="B14" s="62" t="str">
        <x:v>Monthly Performance</x:v>
      </x:c>
      <x:c r="C14" s="62" t="str">
        <x:v>Cumulative measures do not decrease</x:v>
      </x:c>
      <x:c r="D14" s="62" t="str">
        <x:v>PASS</x:v>
      </x:c>
      <x:c r="E14" s="62" t="n">
        <x:v>0</x:v>
      </x:c>
      <x:c r="F14" s="62" t="str">
        <x:v>0 decreases</x:v>
      </x:c>
      <x:c r="G14" s="62" t="str"/>
    </x:row>
    <x:row r="15">
      <x:c r="A15" s="62" t="str">
        <x:v>V-CO-01</x:v>
      </x:c>
      <x:c r="B15" s="62" t="str">
        <x:v>Change Orders</x:v>
      </x:c>
      <x:c r="C15" s="62" t="str">
        <x:v>Change_Order_ID uniqueness</x:v>
      </x:c>
      <x:c r="D15" s="62" t="str">
        <x:v>PASS</x:v>
      </x:c>
      <x:c r="E15" s="62" t="n">
        <x:v>0</x:v>
      </x:c>
      <x:c r="F15" s="62" t="str">
        <x:v>0 duplicates</x:v>
      </x:c>
      <x:c r="G15" s="62" t="str"/>
    </x:row>
    <x:row r="16">
      <x:c r="A16" s="62" t="str">
        <x:v>V-CO-02</x:v>
      </x:c>
      <x:c r="B16" s="62" t="str">
        <x:v>Change Orders</x:v>
      </x:c>
      <x:c r="C16" s="62" t="str">
        <x:v>All Project_ID values match Projects</x:v>
      </x:c>
      <x:c r="D16" s="62" t="str">
        <x:v>PASS</x:v>
      </x:c>
      <x:c r="E16" s="62" t="n">
        <x:v>0</x:v>
      </x:c>
      <x:c r="F16" s="62" t="str">
        <x:v>0 unmatched rows</x:v>
      </x:c>
      <x:c r="G16" s="62" t="str"/>
    </x:row>
    <x:row r="17">
      <x:c r="A17" s="62" t="str">
        <x:v>V-CO-03</x:v>
      </x:c>
      <x:c r="B17" s="62" t="str">
        <x:v>Change Orders</x:v>
      </x:c>
      <x:c r="C17" s="62" t="str">
        <x:v>Approved records contain approval date and value</x:v>
      </x:c>
      <x:c r="D17" s="62" t="str">
        <x:v>PASS</x:v>
      </x:c>
      <x:c r="E17" s="62" t="n">
        <x:v>0</x:v>
      </x:c>
      <x:c r="F17" s="62" t="str">
        <x:v>0 incomplete approved rows</x:v>
      </x:c>
      <x:c r="G17" s="62" t="str"/>
    </x:row>
    <x:row r="18">
      <x:c r="A18" s="62" t="str">
        <x:v>V-CO-04</x:v>
      </x:c>
      <x:c r="B18" s="62" t="str">
        <x:v>Change Orders</x:v>
      </x:c>
      <x:c r="C18" s="62" t="str">
        <x:v>Approval date does not precede submission</x:v>
      </x:c>
      <x:c r="D18" s="62" t="str">
        <x:v>PASS</x:v>
      </x:c>
      <x:c r="E18" s="62" t="n">
        <x:v>0</x:v>
      </x:c>
      <x:c r="F18" s="62" t="str">
        <x:v>0 invalid rows</x:v>
      </x:c>
      <x:c r="G18" s="62" t="str"/>
    </x:row>
    <x:row r="19">
      <x:c r="A19" s="62" t="str">
        <x:v>V-CO-05</x:v>
      </x:c>
      <x:c r="B19" s="62" t="str">
        <x:v>Change Orders</x:v>
      </x:c>
      <x:c r="C19" s="62" t="str">
        <x:v>Cost and schedule values are nonnegative</x:v>
      </x:c>
      <x:c r="D19" s="62" t="str">
        <x:v>PASS</x:v>
      </x:c>
      <x:c r="E19" s="62" t="n">
        <x:v>0</x:v>
      </x:c>
      <x:c r="F19" s="62" t="str">
        <x:v>0 invalid rows</x:v>
      </x:c>
      <x:c r="G19" s="62" t="str"/>
    </x:row>
    <x:row r="20">
      <x:c r="A20" s="62" t="str">
        <x:v>V-RFI-01</x:v>
      </x:c>
      <x:c r="B20" s="62" t="str">
        <x:v>RFI Log</x:v>
      </x:c>
      <x:c r="C20" s="62" t="str">
        <x:v>RFI_ID uniqueness</x:v>
      </x:c>
      <x:c r="D20" s="62" t="str">
        <x:v>PASS</x:v>
      </x:c>
      <x:c r="E20" s="62" t="n">
        <x:v>0</x:v>
      </x:c>
      <x:c r="F20" s="62" t="str">
        <x:v>0 duplicates</x:v>
      </x:c>
      <x:c r="G20" s="62" t="str"/>
    </x:row>
    <x:row r="21">
      <x:c r="A21" s="62" t="str">
        <x:v>V-RFI-02</x:v>
      </x:c>
      <x:c r="B21" s="62" t="str">
        <x:v>RFI Log</x:v>
      </x:c>
      <x:c r="C21" s="62" t="str">
        <x:v>All Project_ID values match Projects</x:v>
      </x:c>
      <x:c r="D21" s="62" t="str">
        <x:v>PASS</x:v>
      </x:c>
      <x:c r="E21" s="62" t="n">
        <x:v>0</x:v>
      </x:c>
      <x:c r="F21" s="62" t="str">
        <x:v>0 unmatched rows</x:v>
      </x:c>
      <x:c r="G21" s="62" t="str"/>
    </x:row>
    <x:row r="22">
      <x:c r="A22" s="62" t="str">
        <x:v>V-RFI-03</x:v>
      </x:c>
      <x:c r="B22" s="62" t="str">
        <x:v>RFI Log</x:v>
      </x:c>
      <x:c r="C22" s="62" t="str">
        <x:v>Answered/closed RFIs contain response data</x:v>
      </x:c>
      <x:c r="D22" s="62" t="str">
        <x:v>PASS</x:v>
      </x:c>
      <x:c r="E22" s="62" t="n">
        <x:v>0</x:v>
      </x:c>
      <x:c r="F22" s="62" t="str">
        <x:v>0 incomplete rows</x:v>
      </x:c>
      <x:c r="G22" s="62" t="str"/>
    </x:row>
    <x:row r="23">
      <x:c r="A23" s="62" t="str">
        <x:v>V-RFI-04</x:v>
      </x:c>
      <x:c r="B23" s="62" t="str">
        <x:v>RFI Log</x:v>
      </x:c>
      <x:c r="C23" s="62" t="str">
        <x:v>Response date does not precede submission</x:v>
      </x:c>
      <x:c r="D23" s="62" t="str">
        <x:v>PASS</x:v>
      </x:c>
      <x:c r="E23" s="62" t="n">
        <x:v>0</x:v>
      </x:c>
      <x:c r="F23" s="62" t="str">
        <x:v>0 invalid rows</x:v>
      </x:c>
      <x:c r="G23" s="62" t="str"/>
    </x:row>
    <x:row r="24">
      <x:c r="A24" s="62" t="str">
        <x:v>V-RFI-05</x:v>
      </x:c>
      <x:c r="B24" s="62" t="str">
        <x:v>RFI Log</x:v>
      </x:c>
      <x:c r="C24" s="62" t="str">
        <x:v>Response_Days agrees with cleaned dates</x:v>
      </x:c>
      <x:c r="D24" s="62" t="str">
        <x:v>PASS</x:v>
      </x:c>
      <x:c r="E24" s="62" t="n">
        <x:v>0</x:v>
      </x:c>
      <x:c r="F24" s="62" t="str">
        <x:v>0 inconsistent rows</x:v>
      </x:c>
      <x:c r="G24" s="62" t="str"/>
    </x:row>
    <x:row r="25">
      <x:c r="A25" s="62" t="str">
        <x:v>V-RFI-06</x:v>
      </x:c>
      <x:c r="B25" s="62" t="str">
        <x:v>RFI Log</x:v>
      </x:c>
      <x:c r="C25" s="62" t="str">
        <x:v>Impact and duration values are nonnegative</x:v>
      </x:c>
      <x:c r="D25" s="62" t="str">
        <x:v>PASS</x:v>
      </x:c>
      <x:c r="E25" s="62" t="n">
        <x:v>0</x:v>
      </x:c>
      <x:c r="F25" s="62" t="str">
        <x:v>0 invalid rows</x:v>
      </x:c>
      <x:c r="G25" s="62" t="str"/>
    </x:row>
  </x:sheetData>
  <x:mergeCells>
    <x:mergeCell ref="A1:G1"/>
  </x:mergeCells>
  <x:conditionalFormatting sqref="D4:D25">
    <x:cfRule type="expression" dxfId="1" priority="1">
      <x:formula>D4="PASS"</x:formula>
    </x:cfRule>
    <x:cfRule type="expression" dxfId="2" priority="2">
      <x:formula>D4="FAIL"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beff100a3e460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8" hidden="0" customWidth="1"/>
    <x:col min="4" max="4" width="18" hidden="0" customWidth="1"/>
  </x:cols>
  <x:sheetData>
    <x:row r="1">
      <x:c r="A1" s="65" t="str">
        <x:v>Quarantined Records — No Unsupported Correction Made</x:v>
      </x:c>
      <x:c r="B1" s="65"/>
      <x:c r="C1" s="65"/>
      <x:c r="D1" s="65"/>
    </x:row>
    <x:row r="3">
      <x:c r="A3" s="20" t="str">
        <x:v>Table</x:v>
      </x:c>
      <x:c r="B3" s="20" t="str">
        <x:v>Record_ID</x:v>
      </x:c>
      <x:c r="C3" s="20" t="str">
        <x:v>Reason</x:v>
      </x:c>
      <x:c r="D3" s="20" t="str">
        <x:v>Project_ID</x:v>
      </x:c>
    </x:row>
    <x:row r="4">
      <x:c r="A4" t="str">
        <x:v>Change Orders</x:v>
      </x:c>
      <x:c r="B4" t="str">
        <x:v>CO-00495</x:v>
      </x:c>
      <x:c r="C4" t="str">
        <x:v>Project_ID not found in Projects</x:v>
      </x:c>
      <x:c r="D4" t="str">
        <x:v>PRJ-999</x:v>
      </x:c>
    </x:row>
    <x:row r="5">
      <x:c r="A5" t="str">
        <x:v>RFI Log</x:v>
      </x:c>
      <x:c r="B5" t="str">
        <x:v>RFI-00844</x:v>
      </x:c>
      <x:c r="C5" t="str">
        <x:v>Project_ID not found in Projects</x:v>
      </x:c>
      <x:c r="D5" t="str">
        <x:v>PRJ-000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b5f745775ab4c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4" hidden="0" customWidth="1"/>
    <x:col min="4" max="4" width="24" hidden="0" customWidth="1"/>
    <x:col min="5" max="5" width="52" hidden="0" customWidth="1"/>
    <x:col min="6" max="6" width="52" hidden="0" customWidth="1"/>
  </x:cols>
  <x:sheetData>
    <x:row r="1">
      <x:c r="A1" s="65" t="str">
        <x:v>Documented Numerical Outlier Review</x:v>
      </x:c>
      <x:c r="B1" s="65"/>
      <x:c r="C1" s="65"/>
      <x:c r="D1" s="65"/>
      <x:c r="E1" s="65"/>
      <x:c r="F1" s="65"/>
    </x:row>
    <x:row r="3">
      <x:c r="A3" s="69" t="str">
        <x:v>Performance_Record_ID</x:v>
      </x:c>
      <x:c r="B3" s="69" t="str">
        <x:v>Project_ID</x:v>
      </x:c>
      <x:c r="C3" s="69" t="str">
        <x:v>Original_Actual_Cost</x:v>
      </x:c>
      <x:c r="D3" s="69" t="str">
        <x:v>Corrected_Actual_Cost</x:v>
      </x:c>
      <x:c r="E3" s="69" t="str">
        <x:v>Detection</x:v>
      </x:c>
      <x:c r="F3" s="69" t="str">
        <x:v>Treatment Rationale</x:v>
      </x:c>
    </x:row>
    <x:row r="4">
      <x:c r="A4" s="62" t="str">
        <x:v>PERF-000861</x:v>
      </x:c>
      <x:c r="B4" s="62" t="str">
        <x:v>PRJ-037</x:v>
      </x:c>
      <x:c r="C4" s="76" t="n">
        <x:v>337823850</x:v>
      </x:c>
      <x:c r="D4" s="76" t="n">
        <x:v>51705500</x:v>
      </x:c>
      <x:c r="E4" s="62" t="str">
        <x:v>Cumulative cost increased by &gt;2.5× and then fell below 65% in the next month.</x:v>
      </x:c>
      <x:c r="F4" s="62" t="str">
        <x:v>Replaced with the midpoint of adjacent cumulative Actual_Cost values.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3951e8d852748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0" hidden="0" customWidth="1"/>
  </x:cols>
  <x:sheetData>
    <x:row r="1">
      <x:c r="A1" s="65" t="str">
        <x:v>Process Phase Methodology and Decision Principles</x:v>
      </x:c>
      <x:c r="B1" s="65"/>
      <x:c r="C1" s="65"/>
      <x:c r="D1" s="65"/>
      <x:c r="E1" s="65"/>
      <x:c r="F1" s="65"/>
    </x:row>
    <x:row r="3">
      <x:c r="A3" s="20" t="str">
        <x:v>Principle</x:v>
      </x:c>
      <x:c r="B3" s="20" t="str">
        <x:v>Name</x:v>
      </x:c>
      <x:c r="C3" s="20" t="str">
        <x:v>Application</x:v>
      </x:c>
    </x:row>
    <x:row r="4">
      <x:c r="A4" s="62" t="str">
        <x:v>1</x:v>
      </x:c>
      <x:c r="B4" s="62" t="str">
        <x:v>Preserve raw data</x:v>
      </x:c>
      <x:c r="C4" s="62" t="str">
        <x:v>Raw CSV files were not edited. All outputs were written to separate cleaned and processed folders.</x:v>
      </x:c>
    </x:row>
    <x:row r="5">
      <x:c r="A5" s="62" t="str">
        <x:v>2</x:v>
      </x:c>
      <x:c r="B5" s="62" t="str">
        <x:v>Do not guess relationships</x:v>
      </x:c>
      <x:c r="C5" s="62" t="str">
        <x:v>Records with unverifiable Project_ID values were quarantined rather than reassigned.</x:v>
      </x:c>
    </x:row>
    <x:row r="6">
      <x:c r="A6" s="62" t="str">
        <x:v>3</x:v>
      </x:c>
      <x:c r="B6" s="62" t="str">
        <x:v>Distinguish valid blanks</x:v>
      </x:c>
      <x:c r="C6" s="62" t="str">
        <x:v>Open RFIs and non-approved change orders may legitimately have blank response or approval fields.</x:v>
      </x:c>
    </x:row>
    <x:row r="7">
      <x:c r="A7" s="62" t="str">
        <x:v>4</x:v>
      </x:c>
      <x:c r="B7" s="62" t="str">
        <x:v>Use internal evidence first</x:v>
      </x:c>
      <x:c r="C7" s="62" t="str">
        <x:v>Missing response dates were reconstructed from known response durations; missing approved values used submitted values as documented proxies.</x:v>
      </x:c>
    </x:row>
    <x:row r="8">
      <x:c r="A8" s="62" t="str">
        <x:v>5</x:v>
      </x:c>
      <x:c r="B8" s="62" t="str">
        <x:v>Use temporal logic</x:v>
      </x:c>
      <x:c r="C8" s="62" t="str">
        <x:v>Cumulative performance values were evaluated within each project and reporting sequence.</x:v>
      </x:c>
    </x:row>
    <x:row r="9">
      <x:c r="A9" s="62" t="str">
        <x:v>6</x:v>
      </x:c>
      <x:c r="B9" s="62" t="str">
        <x:v>Document every treatment</x:v>
      </x:c>
      <x:c r="C9" s="62" t="str">
        <x:v>The Cleaning_Log sheet records issue, detection method, treatment, affected rows, rationale, and validation status.</x:v>
      </x:c>
    </x:row>
    <x:row r="10">
      <x:c r="A10" s="62" t="str">
        <x:v>7</x:v>
      </x:c>
      <x:c r="B10" s="62" t="str">
        <x:v>Validate relational integrity</x:v>
      </x:c>
      <x:c r="C10" s="62" t="str">
        <x:v>Primary keys, composite month keys, foreign keys, date sequences, completeness, ranges, and duration calculations were checked.</x:v>
      </x:c>
    </x:row>
    <x:row r="11">
      <x:c r="A11" s="62" t="str">
        <x:v>8</x:v>
      </x:c>
      <x:c r="B11" s="62" t="str">
        <x:v>Avoid causal claims</x:v>
      </x:c>
      <x:c r="C11" s="62" t="str">
        <x:v>Cleaning prepares the data; business conclusions will be developed in the Analyze phase.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f3626edcf93e488c"/>
  </x:tableParts>
</x:worksheet>
</file>