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26edbecdce43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_Summary" sheetId="1" r:id="Rdeb4c7c961d54e56"/>
    <x:sheet xmlns:r="http://schemas.openxmlformats.org/officeDocument/2006/relationships" name="Action_Register" sheetId="2" r:id="R7ab0db0bdc10492a"/>
    <x:sheet xmlns:r="http://schemas.openxmlformats.org/officeDocument/2006/relationships" name="Governance_Cadence" sheetId="3" r:id="Rdc8c99fe6c47459f"/>
    <x:sheet xmlns:r="http://schemas.openxmlformats.org/officeDocument/2006/relationships" name="KPI_Targets" sheetId="4" r:id="Rfb96ce0aeee04676"/>
    <x:sheet xmlns:r="http://schemas.openxmlformats.org/officeDocument/2006/relationships" name="Top_10_Projects" sheetId="5" r:id="Rbb74d500f2d1431b"/>
    <x:sheet xmlns:r="http://schemas.openxmlformats.org/officeDocument/2006/relationships" name="Automation_Plan" sheetId="6" r:id="R3d62921e92bf4beb"/>
    <x:sheet xmlns:r="http://schemas.openxmlformats.org/officeDocument/2006/relationships" name="Sources" sheetId="7" r:id="Rdeb5ef2ba58947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$#,##0,,&quot;M&quot;"/>
    <x:numFmt numFmtId="201" formatCode="0.0%"/>
    <x:numFmt numFmtId="202" formatCode="0"/>
    <x:numFmt numFmtId="203" formatCode="0.000"/>
    <x:numFmt numFmtId="204" formatCode="0.0 &quot;days&quot;"/>
    <x:numFmt numFmtId="205" formatCode="yyyy-mm-dd"/>
    <x:numFmt numFmtId="206" formatCode="0 &quot;days&quot;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7"/>
      <x:color rgb="FF17365D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4F7FA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1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200" fontId="4" fillId="5" borderId="0" xfId="0" applyNumberFormat="1" applyFont="1" applyFill="1" applyBorder="1" applyAlignment="1">
      <x:alignment horizontal="center"/>
    </x:xf>
    <x:xf numFmtId="20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4" fillId="5" borderId="1" xfId="0" applyNumberFormat="1" applyFont="1" applyFill="1" applyBorder="1"/>
    <x:xf numFmtId="200" fontId="4" fillId="5" borderId="1" xfId="0" applyNumberFormat="1" applyFont="1" applyFill="1" applyBorder="1" applyAlignment="1">
      <x:alignment horizontal="center"/>
    </x:xf>
    <x:xf numFmtId="200" fontId="4" fillId="5" borderId="1" xfId="0" applyNumberFormat="1" applyFont="1" applyFill="1" applyBorder="1" applyAlignment="1">
      <x:alignment horizontal="center" vertical="center"/>
    </x:xf>
    <x:xf numFmtId="201" fontId="4" fillId="5" borderId="0" xfId="0" applyNumberFormat="1" applyFont="1" applyFill="1" applyBorder="1"/>
    <x:xf numFmtId="201" fontId="4" fillId="5" borderId="0" xfId="0" applyNumberFormat="1" applyFont="1" applyFill="1" applyBorder="1" applyAlignment="1">
      <x:alignment horizontal="center"/>
    </x:xf>
    <x:xf numFmtId="201" fontId="4" fillId="5" borderId="0" xfId="0" applyNumberFormat="1" applyFont="1" applyFill="1" applyBorder="1" applyAlignment="1">
      <x:alignment horizontal="center" vertical="center"/>
    </x:xf>
    <x:xf numFmtId="201" fontId="4" fillId="5" borderId="1" xfId="0" applyNumberFormat="1" applyFont="1" applyFill="1" applyBorder="1"/>
    <x:xf numFmtId="201" fontId="4" fillId="5" borderId="1" xfId="0" applyNumberFormat="1" applyFont="1" applyFill="1" applyBorder="1" applyAlignment="1">
      <x:alignment horizontal="center"/>
    </x:xf>
    <x:xf numFmtId="201" fontId="4" fillId="5" borderId="1" xfId="0" applyNumberFormat="1" applyFont="1" applyFill="1" applyBorder="1" applyAlignment="1">
      <x:alignment horizontal="center" vertical="center"/>
    </x:xf>
    <x:xf numFmtId="202" fontId="4" fillId="5" borderId="0" xfId="0" applyNumberFormat="1" applyFont="1" applyFill="1" applyBorder="1"/>
    <x:xf numFmtId="202" fontId="4" fillId="5" borderId="0" xfId="0" applyNumberFormat="1" applyFont="1" applyFill="1" applyBorder="1" applyAlignment="1">
      <x:alignment horizontal="center"/>
    </x:xf>
    <x:xf numFmtId="202" fontId="4" fillId="5" borderId="0" xfId="0" applyNumberFormat="1" applyFont="1" applyFill="1" applyBorder="1" applyAlignment="1">
      <x:alignment horizontal="center" vertical="center"/>
    </x:xf>
    <x:xf numFmtId="202" fontId="4" fillId="5" borderId="1" xfId="0" applyNumberFormat="1" applyFont="1" applyFill="1" applyBorder="1"/>
    <x:xf numFmtId="202" fontId="4" fillId="5" borderId="1" xfId="0" applyNumberFormat="1" applyFont="1" applyFill="1" applyBorder="1" applyAlignment="1">
      <x:alignment horizontal="center"/>
    </x:xf>
    <x:xf numFmtId="202" fontId="4" fillId="5" borderId="1" xfId="0" applyNumberFormat="1" applyFont="1" applyFill="1" applyBorder="1" applyAlignment="1">
      <x:alignment horizontal="center" vertical="center"/>
    </x:xf>
    <x:xf numFmtId="203" fontId="4" fillId="5" borderId="0" xfId="0" applyNumberFormat="1" applyFont="1" applyFill="1" applyBorder="1"/>
    <x:xf numFmtId="203" fontId="4" fillId="5" borderId="0" xfId="0" applyNumberFormat="1" applyFont="1" applyFill="1" applyBorder="1" applyAlignment="1">
      <x:alignment horizontal="center"/>
    </x:xf>
    <x:xf numFmtId="203" fontId="4" fillId="5" borderId="0" xfId="0" applyNumberFormat="1" applyFont="1" applyFill="1" applyBorder="1" applyAlignment="1">
      <x:alignment horizontal="center" vertical="center"/>
    </x:xf>
    <x:xf numFmtId="203" fontId="4" fillId="5" borderId="1" xfId="0" applyNumberFormat="1" applyFont="1" applyFill="1" applyBorder="1"/>
    <x:xf numFmtId="203" fontId="4" fillId="5" borderId="1" xfId="0" applyNumberFormat="1" applyFont="1" applyFill="1" applyBorder="1" applyAlignment="1">
      <x:alignment horizontal="center"/>
    </x:xf>
    <x:xf numFmtId="203" fontId="4" fillId="5" borderId="1" xfId="0" applyNumberFormat="1" applyFont="1" applyFill="1" applyBorder="1" applyAlignment="1">
      <x:alignment horizontal="center" vertical="center"/>
    </x:xf>
    <x:xf numFmtId="204" fontId="4" fillId="5" borderId="0" xfId="0" applyNumberFormat="1" applyFont="1" applyFill="1" applyBorder="1"/>
    <x:xf numFmtId="204" fontId="4" fillId="5" borderId="0" xfId="0" applyNumberFormat="1" applyFont="1" applyFill="1" applyBorder="1" applyAlignment="1">
      <x:alignment horizontal="center"/>
    </x:xf>
    <x:xf numFmtId="204" fontId="4" fillId="5" borderId="0" xfId="0" applyNumberFormat="1" applyFont="1" applyFill="1" applyBorder="1" applyAlignment="1">
      <x:alignment horizontal="center" vertical="center"/>
    </x:xf>
    <x:xf numFmtId="204" fontId="4" fillId="5" borderId="1" xfId="0" applyNumberFormat="1" applyFont="1" applyFill="1" applyBorder="1"/>
    <x:xf numFmtId="204" fontId="4" fillId="5" borderId="1" xfId="0" applyNumberFormat="1" applyFont="1" applyFill="1" applyBorder="1" applyAlignment="1">
      <x:alignment horizontal="center"/>
    </x:xf>
    <x:xf numFmtId="204" fontId="4" fillId="5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 applyAlignment="1">
      <x:alignment horizontal="center" vertical="center"/>
    </x:xf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5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6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6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53724ed53b4d63" /><Relationship Type="http://schemas.openxmlformats.org/officeDocument/2006/relationships/theme" Target="/xl/theme/theme1.xml" Id="R04e98dad936b4da0" /><Relationship Type="http://schemas.openxmlformats.org/officeDocument/2006/relationships/sharedStrings" Target="/xl/sharedStrings.xml" Id="R0d89071040c948b6" /><Relationship Type="http://schemas.openxmlformats.org/officeDocument/2006/relationships/worksheet" Target="/xl/worksheets/sheet1.xml" Id="Rdeb4c7c961d54e56" /><Relationship Type="http://schemas.openxmlformats.org/officeDocument/2006/relationships/worksheet" Target="/xl/worksheets/sheet2.xml" Id="R7ab0db0bdc10492a" /><Relationship Type="http://schemas.openxmlformats.org/officeDocument/2006/relationships/worksheet" Target="/xl/worksheets/sheet3.xml" Id="Rdc8c99fe6c47459f" /><Relationship Type="http://schemas.openxmlformats.org/officeDocument/2006/relationships/worksheet" Target="/xl/worksheets/sheet4.xml" Id="Rfb96ce0aeee04676" /><Relationship Type="http://schemas.openxmlformats.org/officeDocument/2006/relationships/worksheet" Target="/xl/worksheets/sheet5.xml" Id="Rbb74d500f2d1431b" /><Relationship Type="http://schemas.openxmlformats.org/officeDocument/2006/relationships/worksheet" Target="/xl/worksheets/sheet6.xml" Id="R3d62921e92bf4beb" /><Relationship Type="http://schemas.openxmlformats.org/officeDocument/2006/relationships/worksheet" Target="/xl/worksheets/sheet7.xml" Id="Rdeb5ef2ba58947f6" /></Relationships>
</file>

<file path=xl/tables/table1.xml><?xml version="1.0" encoding="utf-8"?>
<x:table xmlns:x="http://schemas.openxmlformats.org/spreadsheetml/2006/main" id="1" name="ActActionRegisterTable" displayName="ActActionRegisterTable" ref="A3:P15" headerRowCount="1">
  <x:tableColumns count="16">
    <x:tableColumn id="1" name="Action ID"/>
    <x:tableColumn id="2" name="Workstream"/>
    <x:tableColumn id="3" name="Priority"/>
    <x:tableColumn id="4" name="Timing"/>
    <x:tableColumn id="5" name="Start Date"/>
    <x:tableColumn id="6" name="Target Date"/>
    <x:tableColumn id="7" name="Owner"/>
    <x:tableColumn id="8" name="Support"/>
    <x:tableColumn id="9" name="Action"/>
    <x:tableColumn id="10" name="Evidence"/>
    <x:tableColumn id="11" name="Deliverable"/>
    <x:tableColumn id="12" name="Success Metric"/>
    <x:tableColumn id="13" name="Status"/>
    <x:tableColumn id="14" name="Days Remaining"/>
    <x:tableColumn id="15" name="Schedule Status"/>
    <x:tableColumn id="16" name="Management Notes"/>
  </x:tableColumns>
  <x:tableStyleInfo name="TableStyleMedium2" showRowStripes="1"/>
</x:table>
</file>

<file path=xl/tables/table2.xml><?xml version="1.0" encoding="utf-8"?>
<x:table xmlns:x="http://schemas.openxmlformats.org/spreadsheetml/2006/main" id="2" name="GovernanceCadenceTable" displayName="GovernanceCadenceTable" ref="A3:E10" headerRowCount="1">
  <x:tableColumns count="5">
    <x:tableColumn id="1" name="Frequency"/>
    <x:tableColumn id="2" name="Forum"/>
    <x:tableColumn id="3" name="Accountable Owner"/>
    <x:tableColumn id="4" name="Required Agenda"/>
    <x:tableColumn id="5" name="Primary Output"/>
  </x:tableColumns>
  <x:tableStyleInfo name="TableStyleMedium2" showRowStripes="1"/>
</x:table>
</file>

<file path=xl/tables/table3.xml><?xml version="1.0" encoding="utf-8"?>
<x:table xmlns:x="http://schemas.openxmlformats.org/spreadsheetml/2006/main" id="3" name="ActKPITargetsTable" displayName="ActKPITargetsTable" ref="A3:E15" headerRowCount="1">
  <x:tableColumns count="5">
    <x:tableColumn id="1" name="Metric"/>
    <x:tableColumn id="2" name="Proposed Target"/>
    <x:tableColumn id="3" name="Review Frequency"/>
    <x:tableColumn id="4" name="Owner"/>
    <x:tableColumn id="5" name="Interpretation"/>
  </x:tableColumns>
  <x:tableStyleInfo name="TableStyleMedium2" showRowStripes="1"/>
</x:table>
</file>

<file path=xl/tables/table4.xml><?xml version="1.0" encoding="utf-8"?>
<x:table xmlns:x="http://schemas.openxmlformats.org/spreadsheetml/2006/main" id="4" name="TopTenInterventionTable" displayName="TopTenInterventionTable" ref="A3:K13" headerRowCount="1">
  <x:tableColumns count="11">
    <x:tableColumn id="1" name="Rank"/>
    <x:tableColumn id="2" name="Project ID"/>
    <x:tableColumn id="3" name="Project Name"/>
    <x:tableColumn id="4" name="Type"/>
    <x:tableColumn id="5" name="CPI"/>
    <x:tableColumn id="6" name="SPI"/>
    <x:tableColumn id="7" name="Forecast Overrun"/>
    <x:tableColumn id="8" name="Delay Days"/>
    <x:tableColumn id="9" name="Contingency Used"/>
    <x:tableColumn id="10" name="Primary Driver"/>
    <x:tableColumn id="11" name="All Triggers"/>
  </x:tableColumns>
  <x:tableStyleInfo name="TableStyleMedium2" showRowStripes="1"/>
</x:table>
</file>

<file path=xl/tables/table5.xml><?xml version="1.0" encoding="utf-8"?>
<x:table xmlns:x="http://schemas.openxmlformats.org/spreadsheetml/2006/main" id="5" name="AutomationPathTable" displayName="AutomationPathTable" ref="A3:G8" headerRowCount="1">
  <x:tableColumns count="7">
    <x:tableColumn id="1" name="Level"/>
    <x:tableColumn id="2" name="Architecture"/>
    <x:tableColumn id="3" name="Automates"/>
    <x:tableColumn id="4" name="Manual Work Remaining"/>
    <x:tableColumn id="5" name="Typical Use"/>
    <x:tableColumn id="6" name="Decision Trigger"/>
    <x:tableColumn id="7" name="Official Reference"/>
  </x:tableColumns>
  <x:tableStyleInfo name="TableStyleMedium2" showRowStripes="1"/>
</x:table>
</file>

<file path=xl/tables/table6.xml><?xml version="1.0" encoding="utf-8"?>
<x:table xmlns:x="http://schemas.openxmlformats.org/spreadsheetml/2006/main" id="6" name="AutomationSourcesTable" displayName="AutomationSourcesTable" ref="A3:C11" headerRowCount="1">
  <x:tableColumns count="3">
    <x:tableColumn id="1" name="Source"/>
    <x:tableColumn id="2" name="URL"/>
    <x:tableColumn id="3" name="U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0bf4515dd04b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5e338b0723842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0944d96b5d448d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020a8bfb258468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3e3f7d976ae432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9e32f52b822428f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3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0" customHeight="1">
      <x:c r="A1" s="5" t="str">
        <x:v>Construction Project Controls - Act Phase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3">
      <x:c r="A3" s="13" t="str">
        <x:v>Recommended decision: approve a 90-day Project Controls Recovery and Automation Program focused on the highest-risk projects, control governance, Power BI automation, and a governed In Project AI pilot.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</x:row>
    <x:row r="6">
      <x:c r="A6" s="21" t="str">
        <x:v>Portfolio BAC</x:v>
      </x:c>
      <x:c r="B6" s="21"/>
      <x:c r="C6" s="21"/>
      <x:c r="D6" s="21" t="str">
        <x:v>Forecast EAC</x:v>
      </x:c>
      <x:c r="E6" s="21"/>
      <x:c r="F6" s="21"/>
      <x:c r="G6" s="21" t="str">
        <x:v>Forecast Overrun</x:v>
      </x:c>
      <x:c r="H6" s="21"/>
      <x:c r="I6" s="21"/>
      <x:c r="J6" s="21" t="str">
        <x:v>Red Projects</x:v>
      </x:c>
      <x:c r="K6" s="21"/>
      <x:c r="L6" s="21"/>
    </x:row>
    <x:row r="7">
      <x:c r="A7" s="30" t="n">
        <x:v>5831436600</x:v>
      </x:c>
      <x:c r="B7" s="30"/>
      <x:c r="C7" s="30"/>
      <x:c r="D7" s="30" t="n">
        <x:v>6586989965.696901</x:v>
      </x:c>
      <x:c r="E7" s="30"/>
      <x:c r="F7" s="30"/>
      <x:c r="G7" s="38" t="n">
        <x:v>0.1295655629175324</x:v>
      </x:c>
      <x:c r="H7" s="38"/>
      <x:c r="I7" s="38"/>
      <x:c r="J7" s="44" t="n">
        <x:v>50</x:v>
      </x:c>
      <x:c r="K7" s="44"/>
      <x:c r="L7" s="44"/>
    </x:row>
    <x:row r="8">
      <x:c r="A8" s="30"/>
      <x:c r="B8" s="30"/>
      <x:c r="C8" s="30"/>
      <x:c r="D8" s="30"/>
      <x:c r="E8" s="30"/>
      <x:c r="F8" s="30"/>
      <x:c r="G8" s="38"/>
      <x:c r="H8" s="38"/>
      <x:c r="I8" s="38"/>
      <x:c r="J8" s="44"/>
      <x:c r="K8" s="44"/>
      <x:c r="L8" s="44"/>
    </x:row>
    <x:row r="10">
      <x:c r="A10" s="21" t="str">
        <x:v>Weighted CPI</x:v>
      </x:c>
      <x:c r="B10" s="21"/>
      <x:c r="C10" s="21"/>
      <x:c r="D10" s="21" t="str">
        <x:v>Weighted SPI</x:v>
      </x:c>
      <x:c r="E10" s="21"/>
      <x:c r="F10" s="21"/>
      <x:c r="G10" s="21" t="str">
        <x:v>Average Delay</x:v>
      </x:c>
      <x:c r="H10" s="21"/>
      <x:c r="I10" s="21"/>
      <x:c r="J10" s="21" t="str">
        <x:v>Contingency Used</x:v>
      </x:c>
      <x:c r="K10" s="21"/>
      <x:c r="L10" s="21"/>
    </x:row>
    <x:row r="11">
      <x:c r="A11" s="50" t="n">
        <x:v>0.8841653039797939</x:v>
      </x:c>
      <x:c r="B11" s="50"/>
      <x:c r="C11" s="50"/>
      <x:c r="D11" s="50" t="n">
        <x:v>0.9871722664956887</x:v>
      </x:c>
      <x:c r="E11" s="50"/>
      <x:c r="F11" s="50"/>
      <x:c r="G11" s="56" t="n">
        <x:v>33.68</x:v>
      </x:c>
      <x:c r="H11" s="56"/>
      <x:c r="I11" s="56"/>
      <x:c r="J11" s="38" t="n">
        <x:v>0.662258416638753</x:v>
      </x:c>
      <x:c r="K11" s="38"/>
      <x:c r="L11" s="38"/>
    </x:row>
    <x:row r="12">
      <x:c r="A12" s="50"/>
      <x:c r="B12" s="50"/>
      <x:c r="C12" s="50"/>
      <x:c r="D12" s="50"/>
      <x:c r="E12" s="50"/>
      <x:c r="F12" s="50"/>
      <x:c r="G12" s="56"/>
      <x:c r="H12" s="56"/>
      <x:c r="I12" s="56"/>
      <x:c r="J12" s="38"/>
      <x:c r="K12" s="38"/>
      <x:c r="L12" s="38"/>
    </x:row>
    <x:row r="15">
      <x:c r="A15" s="61" t="str">
        <x:v>30 / 60 / 90-Day Decision Roadmap</x:v>
      </x:c>
      <x:c r="B15" s="61"/>
      <x:c r="C15" s="61"/>
      <x:c r="D15" s="61"/>
      <x:c r="E15" s="61"/>
      <x:c r="F15" s="61"/>
      <x:c r="G15" s="61"/>
      <x:c r="H15" s="61"/>
      <x:c r="I15" s="61"/>
      <x:c r="J15" s="61"/>
      <x:c r="K15" s="61"/>
      <x:c r="L15" s="61"/>
    </x:row>
    <x:row r="17">
      <x:c r="A17" s="66" t="str">
        <x:v>First 30 Days</x:v>
      </x:c>
      <x:c r="B17" s="66" t="str">
        <x:v>Days 31-60</x:v>
      </x:c>
      <x:c r="C17" s="66" t="str">
        <x:v>Days 61-90</x:v>
      </x:c>
      <x:c r="D17" s="66" t="str">
        <x:v>Decision Gate</x:v>
      </x:c>
      <x:c r="F17" s="20" t="str">
        <x:v>Proposed Management Outcomes</x:v>
      </x:c>
      <x:c r="G17" s="20"/>
      <x:c r="H17" s="20"/>
      <x:c r="I17" s="20"/>
      <x:c r="J17" s="20"/>
      <x:c r="K17" s="20"/>
      <x:c r="L17" s="20"/>
    </x:row>
    <x:row r="18" ht="38" customHeight="1">
      <x:c r="A18" s="71" t="str">
        <x:v>Review top-10 projects</x:v>
      </x:c>
      <x:c r="B18" s="71" t="str">
        <x:v>Publish Power BI</x:v>
      </x:c>
      <x:c r="C18" s="71" t="str">
        <x:v>Build Python risk pilot</x:v>
      </x:c>
      <x:c r="D18" s="71" t="str">
        <x:v>Pilot evaluation</x:v>
      </x:c>
      <x:c r="F18" s="74" t="str">
        <x:v>100% of top-10 projects have intervention owners and recovery plans.</x:v>
      </x:c>
      <x:c r="G18" s="74"/>
      <x:c r="H18" s="74"/>
      <x:c r="I18" s="74"/>
      <x:c r="J18" s="74"/>
      <x:c r="K18" s="74"/>
      <x:c r="L18" s="74"/>
    </x:row>
    <x:row r="19" ht="38" customHeight="1">
      <x:c r="A19" s="71" t="str">
        <x:v>Revalidate EAC</x:v>
      </x:c>
      <x:c r="B19" s="71" t="str">
        <x:v>Schedule refresh</x:v>
      </x:c>
      <x:c r="C19" s="71" t="str">
        <x:v>Create prediction table</x:v>
      </x:c>
      <x:c r="D19" s="71" t="str">
        <x:v>Security validation</x:v>
      </x:c>
      <x:c r="F19" s="77" t="str">
        <x:v>Every contingency drawdown is linked to an approved risk or change.</x:v>
      </x:c>
      <x:c r="G19" s="77"/>
      <x:c r="H19" s="77"/>
      <x:c r="I19" s="77"/>
      <x:c r="J19" s="77"/>
      <x:c r="K19" s="77"/>
      <x:c r="L19" s="77"/>
    </x:row>
    <x:row r="20" ht="38" customHeight="1">
      <x:c r="A20" s="71" t="str">
        <x:v>Approve schedule recovery</x:v>
      </x:c>
      <x:c r="B20" s="71" t="str">
        <x:v>Refresh-failure alerts</x:v>
      </x:c>
      <x:c r="C20" s="71" t="str">
        <x:v>Connect In Project AI</x:v>
      </x:c>
      <x:c r="D20" s="71" t="str">
        <x:v>User acceptance</x:v>
      </x:c>
      <x:c r="F20" s="74" t="str">
        <x:v>High/Critical RFI on-time response reaches at least 90%.</x:v>
      </x:c>
      <x:c r="G20" s="74"/>
      <x:c r="H20" s="74"/>
      <x:c r="I20" s="74"/>
      <x:c r="J20" s="74"/>
      <x:c r="K20" s="74"/>
      <x:c r="L20" s="74"/>
    </x:row>
    <x:row r="21" ht="38" customHeight="1">
      <x:c r="A21" s="71" t="str">
        <x:v>Control contingency</x:v>
      </x:c>
      <x:c r="B21" s="71" t="str">
        <x:v>Red-project alerts</x:v>
      </x:c>
      <x:c r="C21" s="71" t="str">
        <x:v>Test answer traceability</x:v>
      </x:c>
      <x:c r="D21" s="71" t="str">
        <x:v>Business case</x:v>
      </x:c>
      <x:c r="F21" s="77" t="str">
        <x:v>Approved changes are incorporated into forecasts within 5 business days.</x:v>
      </x:c>
      <x:c r="G21" s="77"/>
      <x:c r="H21" s="77"/>
      <x:c r="I21" s="77"/>
      <x:c r="J21" s="77"/>
      <x:c r="K21" s="77"/>
      <x:c r="L21" s="77"/>
    </x:row>
    <x:row r="22" ht="38" customHeight="1">
      <x:c r="A22" s="71" t="str">
        <x:v>RFI closure sprint</x:v>
      </x:c>
      <x:c r="B22" s="71" t="str">
        <x:v>Read-only reporting views</x:v>
      </x:c>
      <x:c r="C22" s="71" t="str">
        <x:v>Audit logs</x:v>
      </x:c>
      <x:c r="D22" s="71" t="str">
        <x:v>Go / Revise / Stop</x:v>
      </x:c>
      <x:c r="F22" s="74" t="str">
        <x:v>Power BI refresh success reaches at least 98%.</x:v>
      </x:c>
      <x:c r="G22" s="74"/>
      <x:c r="H22" s="74"/>
      <x:c r="I22" s="74"/>
      <x:c r="J22" s="74"/>
      <x:c r="K22" s="74"/>
      <x:c r="L22" s="74"/>
    </x:row>
    <x:row r="23" ht="38" customHeight="1">
      <x:c r="A23" s="71" t="str">
        <x:v>Change-control board</x:v>
      </x:c>
      <x:c r="B23" s="71" t="str">
        <x:v>Refresh runbook</x:v>
      </x:c>
      <x:c r="C23" s="71" t="str">
        <x:v>Model documentation</x:v>
      </x:c>
      <x:c r="D23" s="71" t="str">
        <x:v>Fabric decision</x:v>
      </x:c>
      <x:c r="F23" s="77" t="str">
        <x:v>All AI numerical answers include a governed source and reporting date.</x:v>
      </x:c>
      <x:c r="G23" s="77"/>
      <x:c r="H23" s="77"/>
      <x:c r="I23" s="77"/>
      <x:c r="J23" s="77"/>
      <x:c r="K23" s="77"/>
      <x:c r="L23" s="77"/>
    </x:row>
    <x:row r="27">
      <x:c r="A27" s="83" t="str">
        <x:v>Important: these are proposed operating targets for a synthetic demonstration portfolio. They are not achieved results and must be adapted to actual contracts, client processes, risk tolerance, security requirements, and data availability.</x:v>
      </x:c>
      <x:c r="B27" s="83"/>
      <x:c r="C27" s="83"/>
      <x:c r="D27" s="83"/>
      <x:c r="E27" s="83"/>
      <x:c r="F27" s="83"/>
      <x:c r="G27" s="83"/>
      <x:c r="H27" s="83"/>
      <x:c r="I27" s="83"/>
      <x:c r="J27" s="83"/>
      <x:c r="K27" s="83"/>
      <x:c r="L27" s="83"/>
    </x:row>
    <x:row r="28">
      <x:c r="A28" s="83"/>
      <x:c r="B28" s="83"/>
      <x:c r="C28" s="83"/>
      <x:c r="D28" s="83"/>
      <x:c r="E28" s="83"/>
      <x:c r="F28" s="83"/>
      <x:c r="G28" s="83"/>
      <x:c r="H28" s="83"/>
      <x:c r="I28" s="83"/>
      <x:c r="J28" s="83"/>
      <x:c r="K28" s="83"/>
      <x:c r="L28" s="83"/>
    </x:row>
    <x:row r="29">
      <x:c r="A29" s="83"/>
      <x:c r="B29" s="83"/>
      <x:c r="C29" s="83"/>
      <x:c r="D29" s="83"/>
      <x:c r="E29" s="83"/>
      <x:c r="F29" s="83"/>
      <x:c r="G29" s="83"/>
      <x:c r="H29" s="83"/>
      <x:c r="I29" s="83"/>
      <x:c r="J29" s="83"/>
      <x:c r="K29" s="83"/>
      <x:c r="L29" s="83"/>
    </x:row>
  </x:sheetData>
  <x:mergeCells>
    <x:mergeCell ref="A1:L1"/>
    <x:mergeCell ref="A3:L4"/>
    <x:mergeCell ref="A6:C6"/>
    <x:mergeCell ref="A7:C8"/>
    <x:mergeCell ref="D6:F6"/>
    <x:mergeCell ref="D7:F8"/>
    <x:mergeCell ref="G6:I6"/>
    <x:mergeCell ref="G7:I8"/>
    <x:mergeCell ref="J6:L6"/>
    <x:mergeCell ref="J7:L8"/>
    <x:mergeCell ref="A10:C10"/>
    <x:mergeCell ref="A11:C12"/>
    <x:mergeCell ref="D10:F10"/>
    <x:mergeCell ref="D11:F12"/>
    <x:mergeCell ref="G10:I10"/>
    <x:mergeCell ref="G11:I12"/>
    <x:mergeCell ref="J10:L10"/>
    <x:mergeCell ref="J11:L12"/>
    <x:mergeCell ref="A15:L15"/>
    <x:mergeCell ref="F17:L17"/>
    <x:mergeCell ref="F18:L18"/>
    <x:mergeCell ref="F19:L19"/>
    <x:mergeCell ref="F20:L20"/>
    <x:mergeCell ref="F21:L21"/>
    <x:mergeCell ref="F22:L22"/>
    <x:mergeCell ref="F23:L23"/>
    <x:mergeCell ref="A27:L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2" hidden="0" customWidth="1"/>
    <x:col min="4" max="4" width="14" hidden="0" customWidth="1"/>
    <x:col min="5" max="5" width="13" hidden="0" customWidth="1"/>
    <x:col min="6" max="6" width="13" hidden="0" customWidth="1"/>
    <x:col min="7" max="7" width="24" hidden="0" customWidth="1"/>
    <x:col min="8" max="8" width="32" hidden="0" customWidth="1"/>
    <x:col min="9" max="9" width="48" hidden="0" customWidth="1"/>
    <x:col min="10" max="10" width="40" hidden="0" customWidth="1"/>
    <x:col min="11" max="11" width="42" hidden="0" customWidth="1"/>
    <x:col min="12" max="12" width="42" hidden="0" customWidth="1"/>
    <x:col min="13" max="13" width="14" hidden="0" customWidth="1"/>
    <x:col min="14" max="14" width="14" hidden="0" customWidth="1"/>
    <x:col min="15" max="15" width="16" hidden="0" customWidth="1"/>
    <x:col min="16" max="16" width="36" hidden="0" customWidth="1"/>
  </x:cols>
  <x:sheetData>
    <x:row r="1" ht="30" customHeight="1">
      <x:c r="A1" s="90" t="str">
        <x:v>90-Day Action Register</x:v>
      </x:c>
      <x:c r="B1" s="90"/>
      <x:c r="C1" s="90"/>
      <x:c r="D1" s="90"/>
      <x:c r="E1" s="90"/>
      <x:c r="F1" s="90"/>
      <x:c r="G1" s="90"/>
      <x:c r="H1" s="90"/>
      <x:c r="I1" s="90"/>
      <x:c r="J1" s="90"/>
      <x:c r="K1" s="90"/>
      <x:c r="L1" s="90"/>
      <x:c r="M1" s="90"/>
      <x:c r="N1" s="90"/>
      <x:c r="O1" s="90"/>
      <x:c r="P1" s="90"/>
    </x:row>
    <x:row r="3">
      <x:c r="A3" s="66" t="str">
        <x:v>Action ID</x:v>
      </x:c>
      <x:c r="B3" s="66" t="str">
        <x:v>Workstream</x:v>
      </x:c>
      <x:c r="C3" s="66" t="str">
        <x:v>Priority</x:v>
      </x:c>
      <x:c r="D3" s="66" t="str">
        <x:v>Timing</x:v>
      </x:c>
      <x:c r="E3" s="66" t="str">
        <x:v>Start Date</x:v>
      </x:c>
      <x:c r="F3" s="66" t="str">
        <x:v>Target Date</x:v>
      </x:c>
      <x:c r="G3" s="66" t="str">
        <x:v>Owner</x:v>
      </x:c>
      <x:c r="H3" s="66" t="str">
        <x:v>Support</x:v>
      </x:c>
      <x:c r="I3" s="66" t="str">
        <x:v>Action</x:v>
      </x:c>
      <x:c r="J3" s="66" t="str">
        <x:v>Evidence</x:v>
      </x:c>
      <x:c r="K3" s="66" t="str">
        <x:v>Deliverable</x:v>
      </x:c>
      <x:c r="L3" s="66" t="str">
        <x:v>Success Metric</x:v>
      </x:c>
      <x:c r="M3" s="66" t="str">
        <x:v>Status</x:v>
      </x:c>
      <x:c r="N3" s="66" t="str">
        <x:v>Days Remaining</x:v>
      </x:c>
      <x:c r="O3" s="66" t="str">
        <x:v>Schedule Status</x:v>
      </x:c>
      <x:c r="P3" s="66" t="str">
        <x:v>Management Notes</x:v>
      </x:c>
    </x:row>
    <x:row r="4">
      <x:c r="A4" s="96" t="str">
        <x:v>A01</x:v>
      </x:c>
      <x:c r="B4" s="96" t="str">
        <x:v>Executive Intervention</x:v>
      </x:c>
      <x:c r="C4" s="96" t="str">
        <x:v>Critical</x:v>
      </x:c>
      <x:c r="D4" s="96" t="str">
        <x:v>Days 1-3</x:v>
      </x:c>
      <x:c r="E4" s="97" t="n">
        <x:v>46233</x:v>
      </x:c>
      <x:c r="F4" s="97" t="n">
        <x:v>46235</x:v>
      </x:c>
      <x:c r="G4" s="96" t="str">
        <x:v>Executive Sponsor</x:v>
      </x:c>
      <x:c r="H4" s="96" t="str">
        <x:v>Project Controls Lead; Project Managers</x:v>
      </x:c>
      <x:c r="I4" s="96" t="str">
        <x:v>Convene a portfolio exception review for the 10 highest-priority projects.</x:v>
      </x:c>
      <x:c r="J4" s="96" t="str">
        <x:v>Top 10 ranked Red projects; 50 Red projects across the portfolio.</x:v>
      </x:c>
      <x:c r="K4" s="96" t="str">
        <x:v>Signed intervention register with accountable owner and next review date for each project.</x:v>
      </x:c>
      <x:c r="L4" s="96" t="str">
        <x:v>100% of top 10 projects assigned an intervention owner within 3 business days.</x:v>
      </x:c>
      <x:c r="M4" s="96" t="str">
        <x:v>Not Started</x:v>
      </x:c>
      <x:c r="N4" s="96" t="n">
        <x:f>F4-TODAY()</x:f>
        <x:v>2</x:v>
      </x:c>
      <x:c r="O4" s="96" t="str">
        <x:f>IF(M4="Complete","Complete",IF(F4&lt;TODAY(),"Overdue","On Track"))</x:f>
        <x:v>On Track</x:v>
      </x:c>
      <x:c r="P4" s="96" t="str"/>
    </x:row>
    <x:row r="5">
      <x:c r="A5" s="96" t="str">
        <x:v>A02</x:v>
      </x:c>
      <x:c r="B5" s="96" t="str">
        <x:v>Cost Recovery</x:v>
      </x:c>
      <x:c r="C5" s="96" t="str">
        <x:v>Critical</x:v>
      </x:c>
      <x:c r="D5" s="96" t="str">
        <x:v>Days 1-10</x:v>
      </x:c>
      <x:c r="E5" s="97" t="n">
        <x:v>46233</x:v>
      </x:c>
      <x:c r="F5" s="97" t="n">
        <x:v>46242</x:v>
      </x:c>
      <x:c r="G5" s="96" t="str">
        <x:v>Cost Manager</x:v>
      </x:c>
      <x:c r="H5" s="96" t="str">
        <x:v>Project Manager; Project Controls Lead</x:v>
      </x:c>
      <x:c r="I5" s="96" t="str">
        <x:v>Revalidate estimate to complete, remaining commitments, productivity assumptions, accruals, and buyout exposure on every top-10 project.</x:v>
      </x:c>
      <x:c r="J5" s="96" t="str">
        <x:v>Portfolio weighted CPI 0.884; forecast overrun 13.0%.</x:v>
      </x:c>
      <x:c r="K5" s="96" t="str">
        <x:v>Project-level cost recovery sheet and approved revised EAC.</x:v>
      </x:c>
      <x:c r="L5" s="96" t="str">
        <x:v>100% of top-10 EACs independently reviewed; unexplained variance below 2% of BAC.</x:v>
      </x:c>
      <x:c r="M5" s="96" t="str">
        <x:v>Not Started</x:v>
      </x:c>
      <x:c r="N5" s="96" t="n">
        <x:f>F5-TODAY()</x:f>
        <x:v>9</x:v>
      </x:c>
      <x:c r="O5" s="96" t="str">
        <x:f>IF(M5="Complete","Complete",IF(F5&lt;TODAY(),"Overdue","On Track"))</x:f>
        <x:v>On Track</x:v>
      </x:c>
      <x:c r="P5" s="96" t="str"/>
    </x:row>
    <x:row r="6">
      <x:c r="A6" s="96" t="str">
        <x:v>A03</x:v>
      </x:c>
      <x:c r="B6" s="96" t="str">
        <x:v>Schedule Recovery</x:v>
      </x:c>
      <x:c r="C6" s="96" t="str">
        <x:v>Critical</x:v>
      </x:c>
      <x:c r="D6" s="96" t="str">
        <x:v>Days 1-14</x:v>
      </x:c>
      <x:c r="E6" s="97" t="n">
        <x:v>46233</x:v>
      </x:c>
      <x:c r="F6" s="97" t="n">
        <x:v>46246</x:v>
      </x:c>
      <x:c r="G6" s="96" t="str">
        <x:v>Scheduler</x:v>
      </x:c>
      <x:c r="H6" s="96" t="str">
        <x:v>Project Manager; Superintendent; Design Manager</x:v>
      </x:c>
      <x:c r="I6" s="96" t="str">
        <x:v>Perform critical-path, near-critical-path, constraint, procurement, and 6-week look-ahead review for top-10 projects.</x:v>
      </x:c>
      <x:c r="J6" s="96" t="str">
        <x:v>Average forecast delay 33.7 days despite weighted SPI 0.987.</x:v>
      </x:c>
      <x:c r="K6" s="96" t="str">
        <x:v>Schedule recovery plan with logic corrections, constraints, responsible parties, and milestone impacts.</x:v>
      </x:c>
      <x:c r="L6" s="96" t="str">
        <x:v>100% of top-10 projects have an approved recovery or mitigation plan within 14 days.</x:v>
      </x:c>
      <x:c r="M6" s="96" t="str">
        <x:v>Not Started</x:v>
      </x:c>
      <x:c r="N6" s="96" t="n">
        <x:f>F6-TODAY()</x:f>
        <x:v>13</x:v>
      </x:c>
      <x:c r="O6" s="96" t="str">
        <x:f>IF(M6="Complete","Complete",IF(F6&lt;TODAY(),"Overdue","On Track"))</x:f>
        <x:v>On Track</x:v>
      </x:c>
      <x:c r="P6" s="96" t="str"/>
    </x:row>
    <x:row r="7">
      <x:c r="A7" s="96" t="str">
        <x:v>A04</x:v>
      </x:c>
      <x:c r="B7" s="96" t="str">
        <x:v>Contingency Governance</x:v>
      </x:c>
      <x:c r="C7" s="96" t="str">
        <x:v>Critical</x:v>
      </x:c>
      <x:c r="D7" s="96" t="str">
        <x:v>Days 1-14</x:v>
      </x:c>
      <x:c r="E7" s="97" t="n">
        <x:v>46233</x:v>
      </x:c>
      <x:c r="F7" s="97" t="n">
        <x:v>46246</x:v>
      </x:c>
      <x:c r="G7" s="96" t="str">
        <x:v>Project Controls Lead</x:v>
      </x:c>
      <x:c r="H7" s="96" t="str">
        <x:v>Cost Manager; Executive Sponsor</x:v>
      </x:c>
      <x:c r="I7" s="96" t="str">
        <x:v>Require approval and risk linkage for new contingency drawdowns; review projects using contingency faster than physical progress.</x:v>
      </x:c>
      <x:c r="J7" s="96" t="str">
        <x:v>Contingency burn ratio had the strongest tested relationship with forecast overrun (r = 0.901).</x:v>
      </x:c>
      <x:c r="K7" s="96" t="str">
        <x:v>Contingency drawdown register with risk reference, approval, remaining balance, and burn ratio.</x:v>
      </x:c>
      <x:c r="L7" s="96" t="str">
        <x:v>100% of new contingency use linked to an approved risk/change; burn ratio reviewed weekly.</x:v>
      </x:c>
      <x:c r="M7" s="96" t="str">
        <x:v>Not Started</x:v>
      </x:c>
      <x:c r="N7" s="96" t="n">
        <x:f>F7-TODAY()</x:f>
        <x:v>13</x:v>
      </x:c>
      <x:c r="O7" s="96" t="str">
        <x:f>IF(M7="Complete","Complete",IF(F7&lt;TODAY(),"Overdue","On Track"))</x:f>
        <x:v>On Track</x:v>
      </x:c>
      <x:c r="P7" s="96" t="str"/>
    </x:row>
    <x:row r="8">
      <x:c r="A8" s="96" t="str">
        <x:v>A05</x:v>
      </x:c>
      <x:c r="B8" s="96" t="str">
        <x:v>RFI Recovery</x:v>
      </x:c>
      <x:c r="C8" s="96" t="str">
        <x:v>High</x:v>
      </x:c>
      <x:c r="D8" s="96" t="str">
        <x:v>Days 1-21</x:v>
      </x:c>
      <x:c r="E8" s="97" t="n">
        <x:v>46233</x:v>
      </x:c>
      <x:c r="F8" s="97" t="n">
        <x:v>46253</x:v>
      </x:c>
      <x:c r="G8" s="96" t="str">
        <x:v>Design Manager</x:v>
      </x:c>
      <x:c r="H8" s="96" t="str">
        <x:v>Project Managers; Discipline Leads</x:v>
      </x:c>
      <x:c r="I8" s="96" t="str">
        <x:v>Run an RFI closure sprint focused on overdue, High, and Critical RFIs, especially Electrical and Structural disciplines.</x:v>
      </x:c>
      <x:c r="J8" s="96" t="str">
        <x:v>Average RFI response 14.6 days; late-response rate 75.2%; response time associated with schedule delay (r = 0.517).</x:v>
      </x:c>
      <x:c r="K8" s="96" t="str">
        <x:v>Prioritized RFI aging log and daily closure report until backlog is controlled.</x:v>
      </x:c>
      <x:c r="L8" s="96" t="str">
        <x:v>Reduce average response time to 10 days or less and achieve at least 90% on-time response for High/Critical RFIs.</x:v>
      </x:c>
      <x:c r="M8" s="96" t="str">
        <x:v>Not Started</x:v>
      </x:c>
      <x:c r="N8" s="96" t="n">
        <x:f>F8-TODAY()</x:f>
        <x:v>20</x:v>
      </x:c>
      <x:c r="O8" s="96" t="str">
        <x:f>IF(M8="Complete","Complete",IF(F8&lt;TODAY(),"Overdue","On Track"))</x:f>
        <x:v>On Track</x:v>
      </x:c>
      <x:c r="P8" s="96" t="str"/>
    </x:row>
    <x:row r="9">
      <x:c r="A9" s="96" t="str">
        <x:v>A06</x:v>
      </x:c>
      <x:c r="B9" s="96" t="str">
        <x:v>Change Control</x:v>
      </x:c>
      <x:c r="C9" s="96" t="str">
        <x:v>High</x:v>
      </x:c>
      <x:c r="D9" s="96" t="str">
        <x:v>Days 1-30</x:v>
      </x:c>
      <x:c r="E9" s="97" t="n">
        <x:v>46233</x:v>
      </x:c>
      <x:c r="F9" s="97" t="n">
        <x:v>46262</x:v>
      </x:c>
      <x:c r="G9" s="96" t="str">
        <x:v>Change Control Board</x:v>
      </x:c>
      <x:c r="H9" s="96" t="str">
        <x:v>Owner Representative; Designer; Contractor</x:v>
      </x:c>
      <x:c r="I9" s="96" t="str">
        <x:v>Establish weekly change triage for owner-directed changes, design errors/omissions, and unforeseen conditions.</x:v>
      </x:c>
      <x:c r="J9" s="96" t="str">
        <x:v>Approved change value $151,618,700; pending exposure $30,891,200.</x:v>
      </x:c>
      <x:c r="K9" s="96" t="str">
        <x:v>Weekly change dashboard showing age, cause, cost, schedule impact, decision, and forecast incorporation.</x:v>
      </x:c>
      <x:c r="L9" s="96" t="str">
        <x:v>100% of approved changes incorporated into current budget and forecast within 5 business days.</x:v>
      </x:c>
      <x:c r="M9" s="96" t="str">
        <x:v>Not Started</x:v>
      </x:c>
      <x:c r="N9" s="96" t="n">
        <x:f>F9-TODAY()</x:f>
        <x:v>29</x:v>
      </x:c>
      <x:c r="O9" s="96" t="str">
        <x:f>IF(M9="Complete","Complete",IF(F9&lt;TODAY(),"Overdue","On Track"))</x:f>
        <x:v>On Track</x:v>
      </x:c>
      <x:c r="P9" s="96" t="str"/>
    </x:row>
    <x:row r="10">
      <x:c r="A10" s="96" t="str">
        <x:v>A07</x:v>
      </x:c>
      <x:c r="B10" s="96" t="str">
        <x:v>Forecast Governance</x:v>
      </x:c>
      <x:c r="C10" s="96" t="str">
        <x:v>High</x:v>
      </x:c>
      <x:c r="D10" s="96" t="str">
        <x:v>Days 15-30</x:v>
      </x:c>
      <x:c r="E10" s="97" t="n">
        <x:v>46247</x:v>
      </x:c>
      <x:c r="F10" s="97" t="n">
        <x:v>46262</x:v>
      </x:c>
      <x:c r="G10" s="96" t="str">
        <x:v>Project Controls Lead</x:v>
      </x:c>
      <x:c r="H10" s="96" t="str">
        <x:v>Cost Managers; Schedulers; Project Managers</x:v>
      </x:c>
      <x:c r="I10" s="96" t="str">
        <x:v>Introduce monthly forecast certification and a documented reason code for material EAC or completion-date changes.</x:v>
      </x:c>
      <x:c r="J10" s="96" t="str">
        <x:v>High Red-project concentration and material cost/schedule exposure require repeatable forecast governance.</x:v>
      </x:c>
      <x:c r="K10" s="96" t="str">
        <x:v>Forecast certification checklist and variance reason-code standard.</x:v>
      </x:c>
      <x:c r="L10" s="96" t="str">
        <x:v>100% of monthly forecasts certified; all changes above 2% BAC or 10 days explained.</x:v>
      </x:c>
      <x:c r="M10" s="96" t="str">
        <x:v>Not Started</x:v>
      </x:c>
      <x:c r="N10" s="96" t="n">
        <x:f>F10-TODAY()</x:f>
        <x:v>29</x:v>
      </x:c>
      <x:c r="O10" s="96" t="str">
        <x:f>IF(M10="Complete","Complete",IF(F10&lt;TODAY(),"Overdue","On Track"))</x:f>
        <x:v>On Track</x:v>
      </x:c>
      <x:c r="P10" s="96" t="str"/>
    </x:row>
    <x:row r="11">
      <x:c r="A11" s="96" t="str">
        <x:v>A08</x:v>
      </x:c>
      <x:c r="B11" s="96" t="str">
        <x:v>Power BI Automation</x:v>
      </x:c>
      <x:c r="C11" s="96" t="str">
        <x:v>High</x:v>
      </x:c>
      <x:c r="D11" s="96" t="str">
        <x:v>Days 15-45</x:v>
      </x:c>
      <x:c r="E11" s="97" t="n">
        <x:v>46247</x:v>
      </x:c>
      <x:c r="F11" s="97" t="n">
        <x:v>46277</x:v>
      </x:c>
      <x:c r="G11" s="96" t="str">
        <x:v>Data Analyst</x:v>
      </x:c>
      <x:c r="H11" s="96" t="str">
        <x:v>Power BI Owner; IT Administrator</x:v>
      </x:c>
      <x:c r="I11" s="96" t="str">
        <x:v>Move source files to a governed OneDrive/SharePoint folder or reporting database, publish the report, configure scheduled refresh, and test refresh history.</x:v>
      </x:c>
      <x:c r="J11" s="96" t="str">
        <x:v>Current CSV-based dashboard is ready; automation removes repeated manual imports.</x:v>
      </x:c>
      <x:c r="K11" s="96" t="str">
        <x:v>Published semantic model with refresh schedule, credentials, owner, and recovery procedure.</x:v>
      </x:c>
      <x:c r="L11" s="96" t="str">
        <x:v>At least 98% successful scheduled refreshes and data available before the weekly controls meeting.</x:v>
      </x:c>
      <x:c r="M11" s="96" t="str">
        <x:v>Not Started</x:v>
      </x:c>
      <x:c r="N11" s="96" t="n">
        <x:f>F11-TODAY()</x:f>
        <x:v>44</x:v>
      </x:c>
      <x:c r="O11" s="96" t="str">
        <x:f>IF(M11="Complete","Complete",IF(F11&lt;TODAY(),"Overdue","On Track"))</x:f>
        <x:v>On Track</x:v>
      </x:c>
      <x:c r="P11" s="96" t="str"/>
    </x:row>
    <x:row r="12">
      <x:c r="A12" s="96" t="str">
        <x:v>A09</x:v>
      </x:c>
      <x:c r="B12" s="96" t="str">
        <x:v>Automated Alerts</x:v>
      </x:c>
      <x:c r="C12" s="96" t="str">
        <x:v>High</x:v>
      </x:c>
      <x:c r="D12" s="96" t="str">
        <x:v>Days 30-50</x:v>
      </x:c>
      <x:c r="E12" s="97" t="n">
        <x:v>46262</x:v>
      </x:c>
      <x:c r="F12" s="97" t="n">
        <x:v>46282</x:v>
      </x:c>
      <x:c r="G12" s="96" t="str">
        <x:v>Data Analyst</x:v>
      </x:c>
      <x:c r="H12" s="96" t="str">
        <x:v>Power Automate Owner; Project Controls Lead</x:v>
      </x:c>
      <x:c r="I12" s="96" t="str">
        <x:v>Create refresh-failure alerts and a filtered Power Automate action for Red projects, new threshold breaches, or overdue High/Critical RFIs.</x:v>
      </x:c>
      <x:c r="J12" s="96" t="str">
        <x:v>Exception-based workflow is needed to convert dashboard insight into action.</x:v>
      </x:c>
      <x:c r="K12" s="96" t="str">
        <x:v>Tested email/Teams alert flow with recipients, escalation rules, and audit log.</x:v>
      </x:c>
      <x:c r="L12" s="96" t="str">
        <x:v>Alert delivered within 30 minutes of refresh completion or failure; no unauthorized project data in messages.</x:v>
      </x:c>
      <x:c r="M12" s="96" t="str">
        <x:v>Not Started</x:v>
      </x:c>
      <x:c r="N12" s="96" t="n">
        <x:f>F12-TODAY()</x:f>
        <x:v>49</x:v>
      </x:c>
      <x:c r="O12" s="96" t="str">
        <x:f>IF(M12="Complete","Complete",IF(F12&lt;TODAY(),"Overdue","On Track"))</x:f>
        <x:v>On Track</x:v>
      </x:c>
      <x:c r="P12" s="96" t="str"/>
    </x:row>
    <x:row r="13">
      <x:c r="A13" s="96" t="str">
        <x:v>A10</x:v>
      </x:c>
      <x:c r="B13" s="96" t="str">
        <x:v>Predictive Analytics Pilot</x:v>
      </x:c>
      <x:c r="C13" s="96" t="str">
        <x:v>Medium</x:v>
      </x:c>
      <x:c r="D13" s="96" t="str">
        <x:v>Days 45-75</x:v>
      </x:c>
      <x:c r="E13" s="97" t="n">
        <x:v>46277</x:v>
      </x:c>
      <x:c r="F13" s="97" t="n">
        <x:v>46307</x:v>
      </x:c>
      <x:c r="G13" s="96" t="str">
        <x:v>Data Analyst / Model Owner</x:v>
      </x:c>
      <x:c r="H13" s="96" t="str">
        <x:v>Project Controls SME</x:v>
      </x:c>
      <x:c r="I13" s="96" t="str">
        <x:v>Develop a versioned Python risk model or rules-based pilot that writes cost-overrun probability, delay probability, and top risk drivers to a prediction table.</x:v>
      </x:c>
      <x:c r="J13" s="96" t="str">
        <x:v>Contingency burn and RFI response time provide useful candidate predictive features.</x:v>
      </x:c>
      <x:c r="K13" s="96" t="str">
        <x:v>Model card, evaluation report, prediction table, and monitoring thresholds.</x:v>
      </x:c>
      <x:c r="L13" s="96" t="str">
        <x:v>Reproducible run; documented precision/recall or error metrics; every prediction includes model version and date.</x:v>
      </x:c>
      <x:c r="M13" s="96" t="str">
        <x:v>Not Started</x:v>
      </x:c>
      <x:c r="N13" s="96" t="n">
        <x:f>F13-TODAY()</x:f>
        <x:v>74</x:v>
      </x:c>
      <x:c r="O13" s="96" t="str">
        <x:f>IF(M13="Complete","Complete",IF(F13&lt;TODAY(),"Overdue","On Track"))</x:f>
        <x:v>On Track</x:v>
      </x:c>
      <x:c r="P13" s="96" t="str"/>
    </x:row>
    <x:row r="14">
      <x:c r="A14" s="96" t="str">
        <x:v>A11</x:v>
      </x:c>
      <x:c r="B14" s="96" t="str">
        <x:v>In Project AI Integration</x:v>
      </x:c>
      <x:c r="C14" s="96" t="str">
        <x:v>Medium</x:v>
      </x:c>
      <x:c r="D14" s="96" t="str">
        <x:v>Days 60-90</x:v>
      </x:c>
      <x:c r="E14" s="97" t="n">
        <x:v>46292</x:v>
      </x:c>
      <x:c r="F14" s="97" t="n">
        <x:v>46322</x:v>
      </x:c>
      <x:c r="G14" s="96" t="str">
        <x:v>In Project AI Product Owner</x:v>
      </x:c>
      <x:c r="H14" s="96" t="str">
        <x:v>Developer; Data Analyst; Security Owner</x:v>
      </x:c>
      <x:c r="I14" s="96" t="str">
        <x:v>Connect approved project metrics and predictions to the In Project AI agent through read-only governed tools.</x:v>
      </x:c>
      <x:c r="J14" s="96" t="str">
        <x:v>The agent can explain project condition only when it retrieves authorized, dated metrics.</x:v>
      </x:c>
      <x:c r="K14" s="96" t="str">
        <x:v>Agent tools for portfolio summary, project explanation, risk drivers, and dashboard link.</x:v>
      </x:c>
      <x:c r="L14" s="96" t="str">
        <x:v>100% of numerical answers include source table/reporting date; zero cross-client data leakage in tests.</x:v>
      </x:c>
      <x:c r="M14" s="96" t="str">
        <x:v>Not Started</x:v>
      </x:c>
      <x:c r="N14" s="96" t="n">
        <x:f>F14-TODAY()</x:f>
        <x:v>89</x:v>
      </x:c>
      <x:c r="O14" s="96" t="str">
        <x:f>IF(M14="Complete","Complete",IF(F14&lt;TODAY(),"Overdue","On Track"))</x:f>
        <x:v>On Track</x:v>
      </x:c>
      <x:c r="P14" s="96" t="str"/>
    </x:row>
    <x:row r="15">
      <x:c r="A15" s="96" t="str">
        <x:v>A12</x:v>
      </x:c>
      <x:c r="B15" s="96" t="str">
        <x:v>Pilot and Scale Decision</x:v>
      </x:c>
      <x:c r="C15" s="96" t="str">
        <x:v>Medium</x:v>
      </x:c>
      <x:c r="D15" s="96" t="str">
        <x:v>Days 75-90</x:v>
      </x:c>
      <x:c r="E15" s="97" t="n">
        <x:v>46307</x:v>
      </x:c>
      <x:c r="F15" s="97" t="n">
        <x:v>46322</x:v>
      </x:c>
      <x:c r="G15" s="96" t="str">
        <x:v>Executive Sponsor</x:v>
      </x:c>
      <x:c r="H15" s="96" t="str">
        <x:v>Product Owner; Finance; Security; Pilot Client</x:v>
      </x:c>
      <x:c r="I15" s="96" t="str">
        <x:v>Run a controlled pilot and decide whether client demand justifies Fabric, Power BI Embedded, additional connectors, and multi-tenant controls.</x:v>
      </x:c>
      <x:c r="J15" s="96" t="str">
        <x:v>Enterprise architecture should follow demonstrated value, security readiness, and recurring revenue.</x:v>
      </x:c>
      <x:c r="K15" s="96" t="str">
        <x:v>Pilot evaluation and formal Go / Revise / Stop decision.</x:v>
      </x:c>
      <x:c r="L15" s="96" t="str">
        <x:v>Pilot user acceptance, measurable time savings, verified security controls, and approved business case.</x:v>
      </x:c>
      <x:c r="M15" s="96" t="str">
        <x:v>Not Started</x:v>
      </x:c>
      <x:c r="N15" s="96" t="n">
        <x:f>F15-TODAY()</x:f>
        <x:v>89</x:v>
      </x:c>
      <x:c r="O15" s="96" t="str">
        <x:f>IF(M15="Complete","Complete",IF(F15&lt;TODAY(),"Overdue","On Track"))</x:f>
        <x:v>On Track</x:v>
      </x:c>
      <x:c r="P15" s="96" t="str"/>
    </x:row>
  </x:sheetData>
  <x:mergeCells>
    <x:mergeCell ref="A1:P1"/>
  </x:mergeCells>
  <x:conditionalFormatting sqref="M4:M15">
    <x:cfRule type="expression" dxfId="0" priority="1">
      <x:formula>M4="Complete"</x:formula>
    </x:cfRule>
    <x:cfRule type="expression" dxfId="1" priority="2">
      <x:formula>M4="Blocked"</x:formula>
    </x:cfRule>
  </x:conditionalFormatting>
  <x:conditionalFormatting sqref="O4:O15">
    <x:cfRule type="expression" dxfId="2" priority="3">
      <x:formula>O4="Overdue"</x:formula>
    </x:cfRule>
    <x:cfRule type="expression" dxfId="3" priority="4">
      <x:formula>O4="On Track"</x:formula>
    </x:cfRule>
  </x:conditionalFormatting>
  <x:dataValidations count="2">
    <x:dataValidation type="list" sqref="M4:M15">
      <x:formula1>"Not Started,In Progress,Blocked,Complete"</x:formula1>
    </x:dataValidation>
    <x:dataValidation type="list" sqref="C4:C15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0bf4515dd04bd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28" hidden="0" customWidth="1"/>
    <x:col min="4" max="4" width="58" hidden="0" customWidth="1"/>
    <x:col min="5" max="5" width="38" hidden="0" customWidth="1"/>
  </x:cols>
  <x:sheetData>
    <x:row r="1" ht="30" customHeight="1">
      <x:c r="A1" s="90" t="str">
        <x:v>Project Controls Governance Cadence</x:v>
      </x:c>
      <x:c r="B1" s="90"/>
      <x:c r="C1" s="90"/>
      <x:c r="D1" s="90"/>
      <x:c r="E1" s="90"/>
    </x:row>
    <x:row r="3">
      <x:c r="A3" s="66" t="str">
        <x:v>Frequency</x:v>
      </x:c>
      <x:c r="B3" s="66" t="str">
        <x:v>Forum</x:v>
      </x:c>
      <x:c r="C3" s="66" t="str">
        <x:v>Accountable Owner</x:v>
      </x:c>
      <x:c r="D3" s="66" t="str">
        <x:v>Required Agenda</x:v>
      </x:c>
      <x:c r="E3" s="66" t="str">
        <x:v>Primary Output</x:v>
      </x:c>
    </x:row>
    <x:row r="4">
      <x:c r="A4" s="96" t="str">
        <x:v>Daily during recovery</x:v>
      </x:c>
      <x:c r="B4" s="96" t="str">
        <x:v>Top-10 exception stand-up</x:v>
      </x:c>
      <x:c r="C4" s="96" t="str">
        <x:v>Project Manager</x:v>
      </x:c>
      <x:c r="D4" s="96" t="str">
        <x:v>Critical constraints, new risks, overdue RFIs, immediate decisions</x:v>
      </x:c>
      <x:c r="E4" s="96" t="str">
        <x:v>Top-10 recovery log</x:v>
      </x:c>
    </x:row>
    <x:row r="5">
      <x:c r="A5" s="96" t="str">
        <x:v>Weekly</x:v>
      </x:c>
      <x:c r="B5" s="96" t="str">
        <x:v>Portfolio controls review</x:v>
      </x:c>
      <x:c r="C5" s="96" t="str">
        <x:v>Project Controls Lead</x:v>
      </x:c>
      <x:c r="D5" s="96" t="str">
        <x:v>Red/Yellow status, CPI/SPI, EAC, delay, contingency burn, change/RFI exceptions</x:v>
      </x:c>
      <x:c r="E5" s="96" t="str">
        <x:v>Executive dashboard and action register</x:v>
      </x:c>
    </x:row>
    <x:row r="6">
      <x:c r="A6" s="96" t="str">
        <x:v>Weekly</x:v>
      </x:c>
      <x:c r="B6" s="96" t="str">
        <x:v>Change Control Board</x:v>
      </x:c>
      <x:c r="C6" s="96" t="str">
        <x:v>Owner/Executive Sponsor</x:v>
      </x:c>
      <x:c r="D6" s="96" t="str">
        <x:v>Pending changes, approval aging, cost/schedule impact, forecast incorporation</x:v>
      </x:c>
      <x:c r="E6" s="96" t="str">
        <x:v>Change decision log</x:v>
      </x:c>
    </x:row>
    <x:row r="7">
      <x:c r="A7" s="96" t="str">
        <x:v>Weekly</x:v>
      </x:c>
      <x:c r="B7" s="96" t="str">
        <x:v>RFI aging review</x:v>
      </x:c>
      <x:c r="C7" s="96" t="str">
        <x:v>Design Manager</x:v>
      </x:c>
      <x:c r="D7" s="96" t="str">
        <x:v>High/Critical RFIs, overdue responses, discipline bottlenecks</x:v>
      </x:c>
      <x:c r="E7" s="96" t="str">
        <x:v>RFI aging dashboard</x:v>
      </x:c>
    </x:row>
    <x:row r="8">
      <x:c r="A8" s="96" t="str">
        <x:v>Monthly</x:v>
      </x:c>
      <x:c r="B8" s="96" t="str">
        <x:v>Forecast certification</x:v>
      </x:c>
      <x:c r="C8" s="96" t="str">
        <x:v>Project Controls Lead</x:v>
      </x:c>
      <x:c r="D8" s="96" t="str">
        <x:v>EAC, ETC, completion date, reason codes, assumptions</x:v>
      </x:c>
      <x:c r="E8" s="96" t="str">
        <x:v>Certified forecast package</x:v>
      </x:c>
    </x:row>
    <x:row r="9">
      <x:c r="A9" s="96" t="str">
        <x:v>Monthly</x:v>
      </x:c>
      <x:c r="B9" s="96" t="str">
        <x:v>Data quality and refresh review</x:v>
      </x:c>
      <x:c r="C9" s="96" t="str">
        <x:v>Data Analyst</x:v>
      </x:c>
      <x:c r="D9" s="96" t="str">
        <x:v>Refresh failures, schema changes, missing data, metric reconciliation</x:v>
      </x:c>
      <x:c r="E9" s="96" t="str">
        <x:v>Data quality report</x:v>
      </x:c>
    </x:row>
    <x:row r="10">
      <x:c r="A10" s="96" t="str">
        <x:v>Quarterly</x:v>
      </x:c>
      <x:c r="B10" s="96" t="str">
        <x:v>Model and AI governance</x:v>
      </x:c>
      <x:c r="C10" s="96" t="str">
        <x:v>Model Owner / Security Owner</x:v>
      </x:c>
      <x:c r="D10" s="96" t="str">
        <x:v>Model drift, answer accuracy, access controls, audit logs</x:v>
      </x:c>
      <x:c r="E10" s="96" t="str">
        <x:v>Model card update and AI control report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5e338b0723842e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8" hidden="0" customWidth="1"/>
    <x:col min="3" max="3" width="20" hidden="0" customWidth="1"/>
    <x:col min="4" max="4" width="26" hidden="0" customWidth="1"/>
    <x:col min="5" max="5" width="46" hidden="0" customWidth="1"/>
  </x:cols>
  <x:sheetData>
    <x:row r="1" ht="30" customHeight="1">
      <x:c r="A1" s="90" t="str">
        <x:v>Proposed Recovery and Automation KPIs</x:v>
      </x:c>
      <x:c r="B1" s="90"/>
      <x:c r="C1" s="90"/>
      <x:c r="D1" s="90"/>
      <x:c r="E1" s="90"/>
    </x:row>
    <x:row r="3">
      <x:c r="A3" s="66" t="str">
        <x:v>Metric</x:v>
      </x:c>
      <x:c r="B3" s="66" t="str">
        <x:v>Proposed Target</x:v>
      </x:c>
      <x:c r="C3" s="66" t="str">
        <x:v>Review Frequency</x:v>
      </x:c>
      <x:c r="D3" s="66" t="str">
        <x:v>Owner</x:v>
      </x:c>
      <x:c r="E3" s="66" t="str">
        <x:v>Interpretation</x:v>
      </x:c>
    </x:row>
    <x:row r="4">
      <x:c r="A4" s="96" t="str">
        <x:v>Top-10 intervention coverage</x:v>
      </x:c>
      <x:c r="B4" s="96" t="str">
        <x:v>100%</x:v>
      </x:c>
      <x:c r="C4" s="96" t="str">
        <x:v>Within 3 business days</x:v>
      </x:c>
      <x:c r="D4" s="96" t="str">
        <x:v>Executive Sponsor</x:v>
      </x:c>
      <x:c r="E4" s="96" t="str">
        <x:v>Proposed operating target</x:v>
      </x:c>
    </x:row>
    <x:row r="5">
      <x:c r="A5" s="96" t="str">
        <x:v>Red project weekly review coverage</x:v>
      </x:c>
      <x:c r="B5" s="96" t="str">
        <x:v>100%</x:v>
      </x:c>
      <x:c r="C5" s="96" t="str">
        <x:v>Weekly</x:v>
      </x:c>
      <x:c r="D5" s="96" t="str">
        <x:v>Project Controls Lead</x:v>
      </x:c>
      <x:c r="E5" s="96" t="str">
        <x:v>Proposed operating target</x:v>
      </x:c>
    </x:row>
    <x:row r="6">
      <x:c r="A6" s="96" t="str">
        <x:v>Weighted CPI</x:v>
      </x:c>
      <x:c r="B6" s="96" t="str">
        <x:v>Improve by at least 0.02 over 90 days</x:v>
      </x:c>
      <x:c r="C6" s="96" t="str">
        <x:v>Monthly</x:v>
      </x:c>
      <x:c r="D6" s="96" t="str">
        <x:v>Cost Managers</x:v>
      </x:c>
      <x:c r="E6" s="96" t="str">
        <x:v>Portfolio recovery target; not guaranteed</x:v>
      </x:c>
    </x:row>
    <x:row r="7">
      <x:c r="A7" s="96" t="str">
        <x:v>Average forecast delay</x:v>
      </x:c>
      <x:c r="B7" s="96" t="str">
        <x:v>Reduce by at least 10 days over 90 days</x:v>
      </x:c>
      <x:c r="C7" s="96" t="str">
        <x:v>Monthly</x:v>
      </x:c>
      <x:c r="D7" s="96" t="str">
        <x:v>Schedulers</x:v>
      </x:c>
      <x:c r="E7" s="96" t="str">
        <x:v>Portfolio recovery target; not guaranteed</x:v>
      </x:c>
    </x:row>
    <x:row r="8">
      <x:c r="A8" s="96" t="str">
        <x:v>Contingency drawdown traceability</x:v>
      </x:c>
      <x:c r="B8" s="96" t="str">
        <x:v>100%</x:v>
      </x:c>
      <x:c r="C8" s="96" t="str">
        <x:v>Weekly</x:v>
      </x:c>
      <x:c r="D8" s="96" t="str">
        <x:v>Project Controls Lead</x:v>
      </x:c>
      <x:c r="E8" s="96" t="str">
        <x:v>Every draw linked to approved risk/change</x:v>
      </x:c>
    </x:row>
    <x:row r="9">
      <x:c r="A9" s="96" t="str">
        <x:v>Contingency burn ratio</x:v>
      </x:c>
      <x:c r="B9" s="96" t="str">
        <x:v>≤1.20x for projects not classified Red</x:v>
      </x:c>
      <x:c r="C9" s="96" t="str">
        <x:v>Weekly</x:v>
      </x:c>
      <x:c r="D9" s="96" t="str">
        <x:v>Project Manager</x:v>
      </x:c>
      <x:c r="E9" s="96" t="str">
        <x:v>Approved portfolio threshold</x:v>
      </x:c>
    </x:row>
    <x:row r="10">
      <x:c r="A10" s="96" t="str">
        <x:v>High/Critical RFI on-time response</x:v>
      </x:c>
      <x:c r="B10" s="96" t="str">
        <x:v>≥90%</x:v>
      </x:c>
      <x:c r="C10" s="96" t="str">
        <x:v>Weekly</x:v>
      </x:c>
      <x:c r="D10" s="96" t="str">
        <x:v>Design Manager</x:v>
      </x:c>
      <x:c r="E10" s="96" t="str">
        <x:v>Proposed SLA target</x:v>
      </x:c>
    </x:row>
    <x:row r="11">
      <x:c r="A11" s="96" t="str">
        <x:v>Average RFI response time</x:v>
      </x:c>
      <x:c r="B11" s="96" t="str">
        <x:v>≤10 days</x:v>
      </x:c>
      <x:c r="C11" s="96" t="str">
        <x:v>Weekly</x:v>
      </x:c>
      <x:c r="D11" s="96" t="str">
        <x:v>Design Manager</x:v>
      </x:c>
      <x:c r="E11" s="96" t="str">
        <x:v>Proposed SLA target</x:v>
      </x:c>
    </x:row>
    <x:row r="12">
      <x:c r="A12" s="96" t="str">
        <x:v>Approved changes incorporated into forecast</x:v>
      </x:c>
      <x:c r="B12" s="96" t="str">
        <x:v>100% within 5 business days</x:v>
      </x:c>
      <x:c r="C12" s="96" t="str">
        <x:v>Weekly</x:v>
      </x:c>
      <x:c r="D12" s="96" t="str">
        <x:v>Cost Manager</x:v>
      </x:c>
      <x:c r="E12" s="96" t="str">
        <x:v>Proposed control target</x:v>
      </x:c>
    </x:row>
    <x:row r="13">
      <x:c r="A13" s="96" t="str">
        <x:v>Power BI scheduled refresh success</x:v>
      </x:c>
      <x:c r="B13" s="96" t="str">
        <x:v>≥98%</x:v>
      </x:c>
      <x:c r="C13" s="96" t="str">
        <x:v>Weekly</x:v>
      </x:c>
      <x:c r="D13" s="96" t="str">
        <x:v>Data Analyst</x:v>
      </x:c>
      <x:c r="E13" s="96" t="str">
        <x:v>Automation reliability target</x:v>
      </x:c>
    </x:row>
    <x:row r="14">
      <x:c r="A14" s="96" t="str">
        <x:v>AI numerical answer traceability</x:v>
      </x:c>
      <x:c r="B14" s="96" t="str">
        <x:v>100%</x:v>
      </x:c>
      <x:c r="C14" s="96" t="str">
        <x:v>Monthly</x:v>
      </x:c>
      <x:c r="D14" s="96" t="str">
        <x:v>Product Owner</x:v>
      </x:c>
      <x:c r="E14" s="96" t="str">
        <x:v>Source/reporting date required</x:v>
      </x:c>
    </x:row>
    <x:row r="15">
      <x:c r="A15" s="96" t="str">
        <x:v>Cross-client data leakage</x:v>
      </x:c>
      <x:c r="B15" s="96" t="str">
        <x:v>0 events</x:v>
      </x:c>
      <x:c r="C15" s="96" t="str">
        <x:v>Continuous</x:v>
      </x:c>
      <x:c r="D15" s="96" t="str">
        <x:v>Security Owner</x:v>
      </x:c>
      <x:c r="E15" s="96" t="str">
        <x:v>Non-negotiable control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0944d96b5d448d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38" hidden="0" customWidth="1"/>
    <x:col min="4" max="4" width="25" hidden="0" customWidth="1"/>
    <x:col min="5" max="5" width="11" hidden="0" customWidth="1"/>
    <x:col min="6" max="6" width="11" hidden="0" customWidth="1"/>
    <x:col min="7" max="7" width="18" hidden="0" customWidth="1"/>
    <x:col min="8" max="8" width="14" hidden="0" customWidth="1"/>
    <x:col min="9" max="9" width="18" hidden="0" customWidth="1"/>
    <x:col min="10" max="10" width="25" hidden="0" customWidth="1"/>
    <x:col min="11" max="11" width="48" hidden="0" customWidth="1"/>
  </x:cols>
  <x:sheetData>
    <x:row r="1" ht="30" customHeight="1">
      <x:c r="A1" s="90" t="str">
        <x:v>Top 10 Projects for Immediate Intervention</x:v>
      </x:c>
      <x:c r="B1" s="90"/>
      <x:c r="C1" s="90"/>
      <x:c r="D1" s="90"/>
      <x:c r="E1" s="90"/>
      <x:c r="F1" s="90"/>
      <x:c r="G1" s="90"/>
      <x:c r="H1" s="90"/>
      <x:c r="I1" s="90"/>
      <x:c r="J1" s="90"/>
      <x:c r="K1" s="90"/>
    </x:row>
    <x:row r="3">
      <x:c r="A3" s="66" t="str">
        <x:v>Rank</x:v>
      </x:c>
      <x:c r="B3" s="66" t="str">
        <x:v>Project ID</x:v>
      </x:c>
      <x:c r="C3" s="66" t="str">
        <x:v>Project Name</x:v>
      </x:c>
      <x:c r="D3" s="66" t="str">
        <x:v>Type</x:v>
      </x:c>
      <x:c r="E3" s="66" t="str">
        <x:v>CPI</x:v>
      </x:c>
      <x:c r="F3" s="66" t="str">
        <x:v>SPI</x:v>
      </x:c>
      <x:c r="G3" s="66" t="str">
        <x:v>Forecast Overrun</x:v>
      </x:c>
      <x:c r="H3" s="66" t="str">
        <x:v>Delay Days</x:v>
      </x:c>
      <x:c r="I3" s="66" t="str">
        <x:v>Contingency Used</x:v>
      </x:c>
      <x:c r="J3" s="66" t="str">
        <x:v>Primary Driver</x:v>
      </x:c>
      <x:c r="K3" s="66" t="str">
        <x:v>All Triggers</x:v>
      </x:c>
    </x:row>
    <x:row r="4">
      <x:c r="A4" s="96" t="n">
        <x:v>1</x:v>
      </x:c>
      <x:c r="B4" s="96" t="str">
        <x:v>PRJ-075</x:v>
      </x:c>
      <x:c r="C4" s="96" t="str">
        <x:v>Canyon Ridge Transit-Oriented Development</x:v>
      </x:c>
      <x:c r="D4" s="96" t="str">
        <x:v>Mixed-Use</x:v>
      </x:c>
      <x:c r="E4" s="106" t="n">
        <x:v>0.7526069241747617</x:v>
      </x:c>
      <x:c r="F4" s="106" t="n">
        <x:v>0.9971749796987408</x:v>
      </x:c>
      <x:c r="G4" s="107" t="n">
        <x:v>0.3287148548314333</x:v>
      </x:c>
      <x:c r="H4" s="108" t="n">
        <x:v>73</x:v>
      </x:c>
      <x:c r="I4" s="107" t="n">
        <x:v>1.070755127498477</x:v>
      </x:c>
      <x:c r="J4" s="96" t="str">
        <x:v>CPI &lt; 0.90</x:v>
      </x:c>
      <x:c r="K4" s="96" t="str">
        <x:v>CPI &lt; 0.90; Forecast overrun &gt; 10%; Delay &gt; 30 days; Contingency used &gt; 90%</x:v>
      </x:c>
    </x:row>
    <x:row r="5">
      <x:c r="A5" s="96" t="n">
        <x:v>2</x:v>
      </x:c>
      <x:c r="B5" s="96" t="str">
        <x:v>PRJ-009</x:v>
      </x:c>
      <x:c r="C5" s="96" t="str">
        <x:v>Northstar Housing</x:v>
      </x:c>
      <x:c r="D5" s="96" t="str">
        <x:v>Residential</x:v>
      </x:c>
      <x:c r="E5" s="106" t="n">
        <x:v>0.754789598046852</x:v>
      </x:c>
      <x:c r="F5" s="106" t="n">
        <x:v>1</x:v>
      </x:c>
      <x:c r="G5" s="107" t="n">
        <x:v>0.3248725241943876</x:v>
      </x:c>
      <x:c r="H5" s="108" t="n">
        <x:v>63</x:v>
      </x:c>
      <x:c r="I5" s="107" t="n">
        <x:v>1.055961159377966</x:v>
      </x:c>
      <x:c r="J5" s="96" t="str">
        <x:v>CPI &lt; 0.90</x:v>
      </x:c>
      <x:c r="K5" s="96" t="str">
        <x:v>CPI &lt; 0.90; Forecast overrun &gt; 10%; Delay &gt; 30 days; Contingency used &gt; 90%</x:v>
      </x:c>
    </x:row>
    <x:row r="6">
      <x:c r="A6" s="96" t="n">
        <x:v>3</x:v>
      </x:c>
      <x:c r="B6" s="96" t="str">
        <x:v>PRJ-046</x:v>
      </x:c>
      <x:c r="C6" s="96" t="str">
        <x:v>Red Rock Residences</x:v>
      </x:c>
      <x:c r="D6" s="96" t="str">
        <x:v>Residential</x:v>
      </x:c>
      <x:c r="E6" s="106" t="n">
        <x:v>0.779008518085782</x:v>
      </x:c>
      <x:c r="F6" s="106" t="n">
        <x:v>1</x:v>
      </x:c>
      <x:c r="G6" s="107" t="n">
        <x:v>0.28368301088317893</x:v>
      </x:c>
      <x:c r="H6" s="108" t="n">
        <x:v>84</x:v>
      </x:c>
      <x:c r="I6" s="107" t="n">
        <x:v>1.0709414176456675</x:v>
      </x:c>
      <x:c r="J6" s="96" t="str">
        <x:v>CPI &lt; 0.90</x:v>
      </x:c>
      <x:c r="K6" s="96" t="str">
        <x:v>CPI &lt; 0.90; Forecast overrun &gt; 10%; Delay &gt; 30 days; Contingency used &gt; 90%</x:v>
      </x:c>
    </x:row>
    <x:row r="7">
      <x:c r="A7" s="96" t="n">
        <x:v>4</x:v>
      </x:c>
      <x:c r="B7" s="96" t="str">
        <x:v>PRJ-068</x:v>
      </x:c>
      <x:c r="C7" s="96" t="str">
        <x:v>Canyon Ridge Bridge Rehabilitation</x:v>
      </x:c>
      <x:c r="D7" s="96" t="str">
        <x:v>Heavy Civil &amp; Infrastructure</x:v>
      </x:c>
      <x:c r="E7" s="106" t="n">
        <x:v>0.7942565208371682</x:v>
      </x:c>
      <x:c r="F7" s="106" t="n">
        <x:v>1</x:v>
      </x:c>
      <x:c r="G7" s="107" t="n">
        <x:v>0.2590390809079823</x:v>
      </x:c>
      <x:c r="H7" s="108" t="n">
        <x:v>55</x:v>
      </x:c>
      <x:c r="I7" s="107" t="n">
        <x:v>0.9544969652381828</x:v>
      </x:c>
      <x:c r="J7" s="96" t="str">
        <x:v>CPI &lt; 0.90</x:v>
      </x:c>
      <x:c r="K7" s="96" t="str">
        <x:v>CPI &lt; 0.90; Forecast overrun &gt; 10%; Delay &gt; 30 days; Contingency used &gt; 90%</x:v>
      </x:c>
    </x:row>
    <x:row r="8">
      <x:c r="A8" s="96" t="n">
        <x:v>5</x:v>
      </x:c>
      <x:c r="B8" s="96" t="str">
        <x:v>PRJ-034</x:v>
      </x:c>
      <x:c r="C8" s="96" t="str">
        <x:v>Mountain Gate Community College</x:v>
      </x:c>
      <x:c r="D8" s="96" t="str">
        <x:v>Institutional</x:v>
      </x:c>
      <x:c r="E8" s="106" t="n">
        <x:v>0.8053175049642667</x:v>
      </x:c>
      <x:c r="F8" s="106" t="n">
        <x:v>1</x:v>
      </x:c>
      <x:c r="G8" s="107" t="n">
        <x:v>0.24174626012180342</x:v>
      </x:c>
      <x:c r="H8" s="108" t="n">
        <x:v>38</x:v>
      </x:c>
      <x:c r="I8" s="107" t="n">
        <x:v>0.9135141117874931</x:v>
      </x:c>
      <x:c r="J8" s="96" t="str">
        <x:v>CPI &lt; 0.90</x:v>
      </x:c>
      <x:c r="K8" s="96" t="str">
        <x:v>CPI &lt; 0.90; Forecast overrun &gt; 10%; Delay &gt; 30 days; Contingency used &gt; 90%</x:v>
      </x:c>
    </x:row>
    <x:row r="9">
      <x:c r="A9" s="96" t="n">
        <x:v>6</x:v>
      </x:c>
      <x:c r="B9" s="96" t="str">
        <x:v>PRJ-017</x:v>
      </x:c>
      <x:c r="C9" s="96" t="str">
        <x:v>Westfield Retail Center</x:v>
      </x:c>
      <x:c r="D9" s="96" t="str">
        <x:v>Commercial</x:v>
      </x:c>
      <x:c r="E9" s="106" t="n">
        <x:v>0.8135973600331347</x:v>
      </x:c>
      <x:c r="F9" s="106" t="n">
        <x:v>0.987929644257971</x:v>
      </x:c>
      <x:c r="G9" s="107" t="n">
        <x:v>0.22910919961597936</x:v>
      </x:c>
      <x:c r="H9" s="108" t="n">
        <x:v>48</x:v>
      </x:c>
      <x:c r="I9" s="107" t="n">
        <x:v>0.9157498877413561</x:v>
      </x:c>
      <x:c r="J9" s="96" t="str">
        <x:v>CPI &lt; 0.90</x:v>
      </x:c>
      <x:c r="K9" s="96" t="str">
        <x:v>CPI &lt; 0.90; Forecast overrun &gt; 10%; Delay &gt; 30 days; Contingency used &gt; 90%</x:v>
      </x:c>
    </x:row>
    <x:row r="10">
      <x:c r="A10" s="96" t="n">
        <x:v>7</x:v>
      </x:c>
      <x:c r="B10" s="96" t="str">
        <x:v>PRJ-064</x:v>
      </x:c>
      <x:c r="C10" s="96" t="str">
        <x:v>Evergreen Townhomes</x:v>
      </x:c>
      <x:c r="D10" s="96" t="str">
        <x:v>Residential</x:v>
      </x:c>
      <x:c r="E10" s="106" t="n">
        <x:v>0.8157916150556495</x:v>
      </x:c>
      <x:c r="F10" s="106" t="n">
        <x:v>1</x:v>
      </x:c>
      <x:c r="G10" s="107" t="n">
        <x:v>0.2258032339935054</x:v>
      </x:c>
      <x:c r="H10" s="108" t="n">
        <x:v>34</x:v>
      </x:c>
      <x:c r="I10" s="107" t="n">
        <x:v>0.9244651162790698</x:v>
      </x:c>
      <x:c r="J10" s="96" t="str">
        <x:v>CPI &lt; 0.90</x:v>
      </x:c>
      <x:c r="K10" s="96" t="str">
        <x:v>CPI &lt; 0.90; Forecast overrun &gt; 10%; Delay &gt; 30 days; Contingency used &gt; 90%</x:v>
      </x:c>
    </x:row>
    <x:row r="11">
      <x:c r="A11" s="96" t="n">
        <x:v>8</x:v>
      </x:c>
      <x:c r="B11" s="96" t="str">
        <x:v>PRJ-013</x:v>
      </x:c>
      <x:c r="C11" s="96" t="str">
        <x:v>Sunrise Housing</x:v>
      </x:c>
      <x:c r="D11" s="96" t="str">
        <x:v>Residential</x:v>
      </x:c>
      <x:c r="E11" s="106" t="n">
        <x:v>0.8192647071030722</x:v>
      </x:c>
      <x:c r="F11" s="106" t="n">
        <x:v>1</x:v>
      </x:c>
      <x:c r="G11" s="107" t="n">
        <x:v>0.2206067115181973</x:v>
      </x:c>
      <x:c r="H11" s="108" t="n">
        <x:v>61</x:v>
      </x:c>
      <x:c r="I11" s="107" t="n">
        <x:v>0.9171995409083457</x:v>
      </x:c>
      <x:c r="J11" s="96" t="str">
        <x:v>CPI &lt; 0.90</x:v>
      </x:c>
      <x:c r="K11" s="96" t="str">
        <x:v>CPI &lt; 0.90; Forecast overrun &gt; 10%; Delay &gt; 30 days; Contingency used &gt; 90%</x:v>
      </x:c>
    </x:row>
    <x:row r="12">
      <x:c r="A12" s="96" t="n">
        <x:v>9</x:v>
      </x:c>
      <x:c r="B12" s="96" t="str">
        <x:v>PRJ-069</x:v>
      </x:c>
      <x:c r="C12" s="96" t="str">
        <x:v>Cedar Valley Town Center</x:v>
      </x:c>
      <x:c r="D12" s="96" t="str">
        <x:v>Mixed-Use</x:v>
      </x:c>
      <x:c r="E12" s="106" t="n">
        <x:v>0.8491634796936659</x:v>
      </x:c>
      <x:c r="F12" s="106" t="n">
        <x:v>0.8476241826353101</x:v>
      </x:c>
      <x:c r="G12" s="107" t="n">
        <x:v>0.17762954238299103</x:v>
      </x:c>
      <x:c r="H12" s="108" t="n">
        <x:v>104</x:v>
      </x:c>
      <x:c r="I12" s="107" t="n">
        <x:v>0.6112147979114876</x:v>
      </x:c>
      <x:c r="J12" s="96" t="str">
        <x:v>CPI &lt; 0.90</x:v>
      </x:c>
      <x:c r="K12" s="96" t="str">
        <x:v>CPI &lt; 0.90; SPI &lt; 0.90; Forecast overrun &gt; 10%; Delay &gt; 30 days</x:v>
      </x:c>
    </x:row>
    <x:row r="13">
      <x:c r="A13" s="96" t="n">
        <x:v>10</x:v>
      </x:c>
      <x:c r="B13" s="96" t="str">
        <x:v>PRJ-025</x:v>
      </x:c>
      <x:c r="C13" s="96" t="str">
        <x:v>Blue Mesa Public Safety Center</x:v>
      </x:c>
      <x:c r="D13" s="96" t="str">
        <x:v>Institutional</x:v>
      </x:c>
      <x:c r="E13" s="106" t="n">
        <x:v>0.8927144026580632</x:v>
      </x:c>
      <x:c r="F13" s="106" t="n">
        <x:v>0.8688662886066457</x:v>
      </x:c>
      <x:c r="G13" s="107" t="n">
        <x:v>0.12017908193537945</x:v>
      </x:c>
      <x:c r="H13" s="108" t="n">
        <x:v>87</x:v>
      </x:c>
      <x:c r="I13" s="107" t="n">
        <x:v>0.33045318286016573</x:v>
      </x:c>
      <x:c r="J13" s="96" t="str">
        <x:v>CPI &lt; 0.90</x:v>
      </x:c>
      <x:c r="K13" s="96" t="str">
        <x:v>CPI &lt; 0.90; SPI &lt; 0.90; Forecast overrun &gt; 10%; Delay &gt; 30 days</x:v>
      </x:c>
    </x:row>
  </x:sheetData>
  <x:mergeCells>
    <x:mergeCell ref="A1:K1"/>
  </x:mergeCells>
  <x:conditionalFormatting sqref="G4:G13">
    <x:cfRule type="colorScale" priority="1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5020a8bfb258468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48" hidden="0" customWidth="1"/>
    <x:col min="4" max="4" width="38" hidden="0" customWidth="1"/>
    <x:col min="5" max="5" width="28" hidden="0" customWidth="1"/>
    <x:col min="6" max="6" width="36" hidden="0" customWidth="1"/>
    <x:col min="7" max="7" width="62" hidden="0" customWidth="1"/>
  </x:cols>
  <x:sheetData>
    <x:row r="1" ht="30" customHeight="1">
      <x:c r="A1" s="90" t="str">
        <x:v>Automation Path for Power BI, Tableau, Python, and In Project AI</x:v>
      </x:c>
      <x:c r="B1" s="90"/>
      <x:c r="C1" s="90"/>
      <x:c r="D1" s="90"/>
      <x:c r="E1" s="90"/>
      <x:c r="F1" s="90"/>
      <x:c r="G1" s="90"/>
    </x:row>
    <x:row r="3">
      <x:c r="A3" s="66" t="str">
        <x:v>Level</x:v>
      </x:c>
      <x:c r="B3" s="66" t="str">
        <x:v>Architecture</x:v>
      </x:c>
      <x:c r="C3" s="66" t="str">
        <x:v>Automates</x:v>
      </x:c>
      <x:c r="D3" s="66" t="str">
        <x:v>Manual Work Remaining</x:v>
      </x:c>
      <x:c r="E3" s="66" t="str">
        <x:v>Typical Use</x:v>
      </x:c>
      <x:c r="F3" s="66" t="str">
        <x:v>Decision Trigger</x:v>
      </x:c>
      <x:c r="G3" s="66" t="str">
        <x:v>Official Reference</x:v>
      </x:c>
    </x:row>
    <x:row r="4">
      <x:c r="A4" s="96" t="str">
        <x:v>1 - Local</x:v>
      </x:c>
      <x:c r="B4" s="96" t="str">
        <x:v>Windows Task Scheduler + Python + CSV</x:v>
      </x:c>
      <x:c r="C4" s="96" t="str">
        <x:v>Validation, alert files, scoring outputs, logs</x:v>
      </x:c>
      <x:c r="D4" s="96" t="str">
        <x:v>Power BI Desktop refresh and publish</x:v>
      </x:c>
      <x:c r="E4" s="96" t="str">
        <x:v>Portfolio/demo</x:v>
      </x:c>
      <x:c r="F4" s="96" t="str">
        <x:v>Start immediately</x:v>
      </x:c>
      <x:c r="G4" s="96" t="str">
        <x:v>https://learn.microsoft.com/en-us/power-bi/connect-data/refresh-data</x:v>
      </x:c>
    </x:row>
    <x:row r="5">
      <x:c r="A5" s="96" t="str">
        <x:v>2 - Power BI Cloud</x:v>
      </x:c>
      <x:c r="B5" s="96" t="str">
        <x:v>OneDrive/SharePoint + Power BI Service + Power Automate</x:v>
      </x:c>
      <x:c r="C5" s="96" t="str">
        <x:v>Scheduled refresh, refresh alerts, contextual workflow actions</x:v>
      </x:c>
      <x:c r="D5" s="96" t="str">
        <x:v>Report design and governance</x:v>
      </x:c>
      <x:c r="E5" s="96" t="str">
        <x:v>First client/pilot</x:v>
      </x:c>
      <x:c r="F5" s="96" t="str">
        <x:v>Need sharing and recurring refresh</x:v>
      </x:c>
      <x:c r="G5" s="96" t="str">
        <x:v>https://learn.microsoft.com/en-us/power-bi/connect-data/refresh-scheduled-refresh</x:v>
      </x:c>
    </x:row>
    <x:row r="6">
      <x:c r="A6" s="96" t="str">
        <x:v>3 - Database + AI</x:v>
      </x:c>
      <x:c r="B6" s="96" t="str">
        <x:v>Supabase/PostgreSQL + scheduled Python/Azure Function + Power BI</x:v>
      </x:c>
      <x:c r="C6" s="96" t="str">
        <x:v>Data refresh, predictions, exception outputs, agent retrieval</x:v>
      </x:c>
      <x:c r="D6" s="96" t="str">
        <x:v>Model review and security governance</x:v>
      </x:c>
      <x:c r="E6" s="96" t="str">
        <x:v>Live reporting</x:v>
      </x:c>
      <x:c r="F6" s="96" t="str">
        <x:v>Need governed client data</x:v>
      </x:c>
      <x:c r="G6" s="96" t="str">
        <x:v>https://learn.microsoft.com/en-us/power-bi/create-reports/power-bi-automate-visual</x:v>
      </x:c>
    </x:row>
    <x:row r="7">
      <x:c r="A7" s="96" t="str">
        <x:v>4 - Fabric</x:v>
      </x:c>
      <x:c r="B7" s="96" t="str">
        <x:v>Fabric Data Factory + Notebook + semantic model + alerts</x:v>
      </x:c>
      <x:c r="C7" s="96" t="str">
        <x:v>Pipelines, schedules, event triggers, notebooks, monitoring</x:v>
      </x:c>
      <x:c r="D7" s="96" t="str">
        <x:v>Enterprise architecture and cost governance</x:v>
      </x:c>
      <x:c r="E7" s="96" t="str">
        <x:v>Enterprise scale</x:v>
      </x:c>
      <x:c r="F7" s="96" t="str">
        <x:v>Several connectors or Microsoft governance requirement</x:v>
      </x:c>
      <x:c r="G7" s="96" t="str">
        <x:v>https://learn.microsoft.com/en-us/fabric/data-factory/pipeline-runs</x:v>
      </x:c>
    </x:row>
    <x:row r="8">
      <x:c r="A8" s="96" t="str">
        <x:v>Tableau option</x:v>
      </x:c>
      <x:c r="B8" s="96" t="str">
        <x:v>Tableau Cloud/Server + Extracts or Bridge</x:v>
      </x:c>
      <x:c r="C8" s="96" t="str">
        <x:v>Scheduled extract refresh and live private-network queries</x:v>
      </x:c>
      <x:c r="D8" s="96" t="str">
        <x:v>Workbook authoring and permissions</x:v>
      </x:c>
      <x:c r="E8" s="96" t="str">
        <x:v>Public portfolio or Tableau client</x:v>
      </x:c>
      <x:c r="F8" s="96" t="str">
        <x:v>Client uses Tableau</x:v>
      </x:c>
      <x:c r="G8" s="96" t="str">
        <x:v>https://help.tableau.com/current/online/en-us/to_bridge_faq.htm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43e3f7d976ae432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  <x:col min="3" max="3" width="50" hidden="0" customWidth="1"/>
  </x:cols>
  <x:sheetData>
    <x:row r="1" ht="30" customHeight="1">
      <x:c r="A1" s="90" t="str">
        <x:v>Official Automation References</x:v>
      </x:c>
      <x:c r="B1" s="90"/>
      <x:c r="C1" s="90"/>
    </x:row>
    <x:row r="3">
      <x:c r="A3" s="66" t="str">
        <x:v>Source</x:v>
      </x:c>
      <x:c r="B3" s="66" t="str">
        <x:v>URL</x:v>
      </x:c>
      <x:c r="C3" s="66" t="str">
        <x:v>Use</x:v>
      </x:c>
    </x:row>
    <x:row r="4">
      <x:c r="A4" s="96" t="str">
        <x:v>Power BI data refresh</x:v>
      </x:c>
      <x:c r="B4" s="96" t="str">
        <x:v>https://learn.microsoft.com/en-us/power-bi/connect-data/refresh-data</x:v>
      </x:c>
      <x:c r="C4" s="96" t="str">
        <x:v>Scheduled/on-demand refresh, OneDrive synchronization, limits</x:v>
      </x:c>
    </x:row>
    <x:row r="5">
      <x:c r="A5" s="96" t="str">
        <x:v>Power BI scheduled refresh</x:v>
      </x:c>
      <x:c r="B5" s="96" t="str">
        <x:v>https://learn.microsoft.com/en-us/power-bi/connect-data/refresh-scheduled-refresh</x:v>
      </x:c>
      <x:c r="C5" s="96" t="str">
        <x:v>Credentials, gateway, schedule settings</x:v>
      </x:c>
    </x:row>
    <x:row r="6">
      <x:c r="A6" s="96" t="str">
        <x:v>Power Automate visual</x:v>
      </x:c>
      <x:c r="B6" s="96" t="str">
        <x:v>https://learn.microsoft.com/en-us/power-bi/create-reports/power-bi-automate-visual</x:v>
      </x:c>
      <x:c r="C6" s="96" t="str">
        <x:v>Contextual flow launched from a report</x:v>
      </x:c>
    </x:row>
    <x:row r="7">
      <x:c r="A7" s="96" t="str">
        <x:v>Power BI pricing</x:v>
      </x:c>
      <x:c r="B7" s="96" t="str">
        <x:v>https://www.microsoft.com/en-us/power-platform/products/power-bi/pricing</x:v>
      </x:c>
      <x:c r="C7" s="96" t="str">
        <x:v>Free authoring and Pro/PPU pricing</x:v>
      </x:c>
    </x:row>
    <x:row r="8">
      <x:c r="A8" s="96" t="str">
        <x:v>Fabric pipeline schedules</x:v>
      </x:c>
      <x:c r="B8" s="96" t="str">
        <x:v>https://learn.microsoft.com/en-us/fabric/data-factory/pipeline-runs</x:v>
      </x:c>
      <x:c r="C8" s="96" t="str">
        <x:v>On-demand, scheduled, and event-based pipeline runs</x:v>
      </x:c>
    </x:row>
    <x:row r="9">
      <x:c r="A9" s="96" t="str">
        <x:v>Fabric job scheduler</x:v>
      </x:c>
      <x:c r="B9" s="96" t="str">
        <x:v>https://learn.microsoft.com/en-us/fabric/fundamentals/job-scheduler</x:v>
      </x:c>
      <x:c r="C9" s="96" t="str">
        <x:v>Recurring supported Fabric jobs</x:v>
      </x:c>
    </x:row>
    <x:row r="10">
      <x:c r="A10" s="96" t="str">
        <x:v>Tableau Cloud refresh</x:v>
      </x:c>
      <x:c r="B10" s="96" t="str">
        <x:v>https://help.tableau.com/current/online/en-us/schedule_add.htm</x:v>
      </x:c>
      <x:c r="C10" s="96" t="str">
        <x:v>Scheduled extract refresh</x:v>
      </x:c>
    </x:row>
    <x:row r="11">
      <x:c r="A11" s="96" t="str">
        <x:v>Tableau Bridge</x:v>
      </x:c>
      <x:c r="B11" s="96" t="str">
        <x:v>https://help.tableau.com/current/online/en-us/to_bridge_faq.htm</x:v>
      </x:c>
      <x:c r="C11" s="96" t="str">
        <x:v>Private-network file/database refresh and live queries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c9e32f52b822428f"/>
  </x:tableParts>
</x:worksheet>
</file>